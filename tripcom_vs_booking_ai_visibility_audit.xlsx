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activeTab="1"/>
  </bookViews>
  <sheets>
    <sheet name="Raw Data" sheetId="1" r:id="rId1"/>
    <sheet name="KPI Dashboard" sheetId="2" r:id="rId2"/>
    <sheet name="Scorecard Matri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<sst xmlns="http://schemas.openxmlformats.org/spreadsheetml/2006/main" count="1251" uniqueCount="159">
  <si>
    <t>TRIP.COM vs BOOKING.COM  ·  GEO AI VISIBILITY AUDIT  ·  Raw Data Input</t>
  </si>
  <si>
    <t>Tester: ____Xinyue Yan___   Period: _2026.5.16_15:40_ to __2026.5.17.11:00__   Y = Yes   N = No   P = Partial   |   Sentiment: + Positive   = Neutral   − Negative</t>
  </si>
  <si>
    <t>#</t>
  </si>
  <si>
    <t>Cat</t>
  </si>
  <si>
    <t>Category Label</t>
  </si>
  <si>
    <t>Prompt (exact text to paste into AI)</t>
  </si>
  <si>
    <t>Primary Intent</t>
  </si>
  <si>
    <t>Google AI Overview</t>
  </si>
  <si>
    <t>ChatGPT</t>
  </si>
  <si>
    <t>Claude</t>
  </si>
  <si>
    <t>Perplexity</t>
  </si>
  <si>
    <t>Trip.com</t>
  </si>
  <si>
    <t>Booking.com</t>
  </si>
  <si>
    <t>Mentioned
(Y/N/P)</t>
  </si>
  <si>
    <t>URL Cited
(Y/N)</t>
  </si>
  <si>
    <t>Position
Rank(1-5)</t>
  </si>
  <si>
    <t>Sentiment
(+/=/−)</t>
  </si>
  <si>
    <t>A1</t>
  </si>
  <si>
    <t>A</t>
  </si>
  <si>
    <t>Usage &amp; Scenario</t>
  </si>
  <si>
    <t>Where is the best place to buy international flight tickets online?</t>
  </si>
  <si>
    <t/>
  </si>
  <si>
    <t>N</t>
  </si>
  <si>
    <t>N/A</t>
  </si>
  <si>
    <t>=</t>
  </si>
  <si>
    <t>Y</t>
  </si>
  <si>
    <t>+</t>
  </si>
  <si>
    <t>A2</t>
  </si>
  <si>
    <t>How do I book a cheap flight to Asia from the US?</t>
  </si>
  <si>
    <t>A3</t>
  </si>
  <si>
    <t>What is the best app to book a hotel for a last-minute trip?</t>
  </si>
  <si>
    <t>A4</t>
  </si>
  <si>
    <t>How can I book train tickets across Europe at the lowest price?</t>
  </si>
  <si>
    <t>A5</t>
  </si>
  <si>
    <t>Where can I rent a car cheaply for a road trip in the US and Europe?</t>
  </si>
  <si>
    <t>A6</t>
  </si>
  <si>
    <t>What are the best websites to find local tours and attractions when traveling?</t>
  </si>
  <si>
    <t>A7</t>
  </si>
  <si>
    <t>How do I book a cruise for the first time — where do I start?</t>
  </si>
  <si>
    <t>A8</t>
  </si>
  <si>
    <t>Do I need travel insurance and where can I buy it for an international trip?</t>
  </si>
  <si>
    <t>A9</t>
  </si>
  <si>
    <t>What are the best platforms for booking small group tours abroad?</t>
  </si>
  <si>
    <t>A10</t>
  </si>
  <si>
    <t>what is the best app/website to book travel tickets?</t>
  </si>
  <si>
    <t>A11</t>
  </si>
  <si>
    <t>How do I plan and book a complete trip — flights, hotel, and activities?</t>
  </si>
  <si>
    <t>B1</t>
  </si>
  <si>
    <t>B</t>
  </si>
  <si>
    <t>Definition &amp; Industry</t>
  </si>
  <si>
    <t>Is Trip.com a legit travel booking site?Tell me whether Trip.com is better than Expedia/Booking.com</t>
  </si>
  <si>
    <t>B2</t>
  </si>
  <si>
    <t>How many places can I book flights in the USA and which are the most popular?</t>
  </si>
  <si>
    <t>B3</t>
  </si>
  <si>
    <t>Do I need a visa to travel to Indonesia with my passport? where to check passport regulation?</t>
  </si>
  <si>
    <t>B4</t>
  </si>
  <si>
    <t>What is actually the cheapest way to book a flight in 2026?</t>
  </si>
  <si>
    <t>B5</t>
  </si>
  <si>
    <t>What is the best site to buy plane tickets right now?</t>
  </si>
  <si>
    <t>B6</t>
  </si>
  <si>
    <t>What is an OTA and how is it different from booking directly with an airline?</t>
  </si>
  <si>
    <t>B7</t>
  </si>
  <si>
    <t>When is the best time to book flights to get the lowest prices?</t>
  </si>
  <si>
    <t>C1</t>
  </si>
  <si>
    <t>C</t>
  </si>
  <si>
    <t>Compare &amp; Choice</t>
  </si>
  <si>
    <t>Is Trip.com/ and booking.com safe to use for booking flights and hotels with my credit card?</t>
  </si>
  <si>
    <t>−</t>
  </si>
  <si>
    <t>C2</t>
  </si>
  <si>
    <t>Is Trip.com/ booking.com reliable — will my booking be honored by the airline or hotel?</t>
  </si>
  <si>
    <t>C3</t>
  </si>
  <si>
    <t>Whether Trip.com's or booking.com cancellation and refund policy better?</t>
  </si>
  <si>
    <t>C4</t>
  </si>
  <si>
    <t>Show me which platform gives the best cancellation flexibility in real scenarios</t>
  </si>
  <si>
    <t>C5</t>
  </si>
  <si>
    <t>Trip.com and  Booking.com, who have better loyalty or rewards program?</t>
  </si>
  <si>
    <t>C6</t>
  </si>
  <si>
    <t>Should I use Trip.com or Booking.com — which is better for hotels?</t>
  </si>
  <si>
    <t>C7</t>
  </si>
  <si>
    <t>Trip.com vs booking.com — which is better for booking international flights?</t>
  </si>
  <si>
    <t>C8</t>
  </si>
  <si>
    <t>Should I use Skyscanner, Expedia, booking.com, or Trip.com to find the cheapest flights?</t>
  </si>
  <si>
    <t>C9</t>
  </si>
  <si>
    <t>Trip.com vs booking.com — which has cheaper hotels in Southeast Asia?</t>
  </si>
  <si>
    <t>C10</t>
  </si>
  <si>
    <t>Trip.com vs Google Flights — which should I use to search for cheap flights?</t>
  </si>
  <si>
    <t>C11</t>
  </si>
  <si>
    <t>Which OTA has the best cancellation policy — Trip.com, Booking.com, or Expedia?</t>
  </si>
  <si>
    <t>C12</t>
  </si>
  <si>
    <t>The top 3 web/app to book flights and hotel</t>
  </si>
  <si>
    <t>TRIP.COM vs BOOKING.COM  ·  KPI COMPARISON DASHBOARD</t>
  </si>
  <si>
    <t>Auto-calculated from Raw Data sheet  ·  Enter data there first</t>
  </si>
  <si>
    <t>KPI 1 — BRAND VISIBILITY RATE  (% of 30 prompts where brand was Mentioned = Y or P)</t>
  </si>
  <si>
    <t>KPI / Metric</t>
  </si>
  <si>
    <t>Formula</t>
  </si>
  <si>
    <t>Google AI Overview
Trip.com</t>
  </si>
  <si>
    <t>Google AI Overview
Booking.com</t>
  </si>
  <si>
    <t>Winner</t>
  </si>
  <si>
    <t>ChatGPT
Trip.com</t>
  </si>
  <si>
    <t>ChatGPT
Booking.com</t>
  </si>
  <si>
    <t>Claude
Trip.com</t>
  </si>
  <si>
    <t>Claude
Booking.com</t>
  </si>
  <si>
    <t>Perplexity
Trip.com</t>
  </si>
  <si>
    <t>Perplexity
Booking.com</t>
  </si>
  <si>
    <t>Avg Trip.com</t>
  </si>
  <si>
    <t>Avg Booking.com</t>
  </si>
  <si>
    <t>Overall Winner</t>
  </si>
  <si>
    <t>Brand Visibility Rate</t>
  </si>
  <si>
    <t>COUNTIF(Mentioned col, Y or P) ÷ 30</t>
  </si>
  <si>
    <t>By category A (11 prompts)</t>
  </si>
  <si>
    <t>By category B (7 prompts)</t>
  </si>
  <si>
    <t>By category C (12 prompts)</t>
  </si>
  <si>
    <t>KPI 2 — CITATION RATE  (% of 30 prompts where brand URL was cited = Y)</t>
  </si>
  <si>
    <t>Citation Rate (all 30 prompts)</t>
  </si>
  <si>
    <t>COUNTIF(URL col, Y) ÷ 30</t>
  </si>
  <si>
    <t>KPI 3 — AI SHARE OF VOICE  (Trip.com mentions ÷ total [Trip + Booking] mentions, per platform)</t>
  </si>
  <si>
    <t>AI Share of Voice</t>
  </si>
  <si>
    <t>Trip mentions ÷ (Trip + Booking mentions)</t>
  </si>
  <si>
    <t>KPI 4 — POSITIVE SENTIMENT RATE  (% of mentions scored as Positive +)</t>
  </si>
  <si>
    <t>Positive Sentiment Rate</t>
  </si>
  <si>
    <t>COUNTIF(Sentiment col, +) ÷ 30</t>
  </si>
  <si>
    <t>KPI 5 — AVERAGE POSITION RANK  (lower = better; only when Mentioned=Y)</t>
  </si>
  <si>
    <t>Avg Position Rank</t>
  </si>
  <si>
    <t>AVERAGEIF(Mentioned=Y, Rank col) — lower is better</t>
  </si>
  <si>
    <t>TRIP.COM vs BOOKING.COM  ·  Scorecard Matrix  ·  Was the brand MENTIONED per prompt per platform?</t>
  </si>
  <si>
    <t>🔴 = Trip.com   🔵 = Booking.com   ✅ = Both cited   ❌ = Neither   (pull from Raw Data sheet)</t>
  </si>
  <si>
    <t>Prompt (short)</t>
  </si>
  <si>
    <t>Platforms citing Trip</t>
  </si>
  <si>
    <t>Platforms citing Booking</t>
  </si>
  <si>
    <t>Gap</t>
  </si>
  <si>
    <t>Best place for intl flight tickets</t>
  </si>
  <si>
    <t>Cheap flight to Asia from US</t>
  </si>
  <si>
    <t>Best hotel app (last-minute)</t>
  </si>
  <si>
    <t>Book train tickets Europe</t>
  </si>
  <si>
    <t>Rent a car cheap</t>
  </si>
  <si>
    <t>Find local tours &amp; attractions</t>
  </si>
  <si>
    <t>Book a cruise — first time</t>
  </si>
  <si>
    <t>Travel insurance — where to buy</t>
  </si>
  <si>
    <t>Best group tour platforms</t>
  </si>
  <si>
    <t>Plan full trip in one place</t>
  </si>
  <si>
    <t>Is Trip.com legitimate?</t>
  </si>
  <si>
    <t>How many flight booking sites USA?</t>
  </si>
  <si>
    <t>How does flight booking work?</t>
  </si>
  <si>
    <t>Cheapest way to book flight 2025</t>
  </si>
  <si>
    <t>Best site for plane tickets now</t>
  </si>
  <si>
    <t>What is an OTA vs direct booking?</t>
  </si>
  <si>
    <t>Best time to book for low prices</t>
  </si>
  <si>
    <t>Is Trip.com safe (credit card)?</t>
  </si>
  <si>
    <t>Is Trip.com reliable?</t>
  </si>
  <si>
    <t>Trip.com cancellation policy</t>
  </si>
  <si>
    <t>Trip.com — non-Chinese travelers?</t>
  </si>
  <si>
    <t>Trip.com loyalty program?</t>
  </si>
  <si>
    <t>Trip.com vs Booking.com — hotels</t>
  </si>
  <si>
    <t>Trip.com vs Expedia — flights</t>
  </si>
  <si>
    <t>Skyscanner vs Expedia vs Trip.com</t>
  </si>
  <si>
    <t>Trip.com vs Agoda — SEA</t>
  </si>
  <si>
    <t>Trip.com vs Google Flights</t>
  </si>
  <si>
    <t>Best OTA cancellation policy</t>
  </si>
  <si>
    <t>Trip.com vs Expedia for Asia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</si>
</sst>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</numFmts>
  <fonts count="39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i/>
      <sz val="9"/>
      <color rgb="FFAAAAAA"/>
      <name val="Arial"/>
      <charset val="134"/>
    </font>
    <font>
      <b/>
      <sz val="9"/>
      <color rgb="FFFFFFFF"/>
      <name val="Arial"/>
      <charset val="134"/>
    </font>
    <font>
      <b/>
      <sz val="9"/>
      <color rgb="FF4C46B0"/>
      <name val="Arial"/>
      <charset val="134"/>
    </font>
    <font>
      <sz val="9"/>
      <color rgb="FF111111"/>
      <name val="Arial"/>
      <charset val="134"/>
    </font>
    <font>
      <b/>
      <sz val="9"/>
      <color rgb="FFD62728"/>
      <name val="Arial"/>
      <charset val="134"/>
    </font>
    <font>
      <b/>
      <sz val="9"/>
      <color rgb="FF003580"/>
      <name val="Arial"/>
      <charset val="134"/>
    </font>
    <font>
      <b/>
      <sz val="9"/>
      <color rgb="FF111111"/>
      <name val="Arial"/>
      <charset val="134"/>
    </font>
    <font>
      <b/>
      <sz val="9"/>
      <color rgb="FF0A6647"/>
      <name val="Arial"/>
      <charset val="134"/>
    </font>
    <font>
      <b/>
      <sz val="9"/>
      <color rgb="FF955200"/>
      <name val="Arial"/>
      <charset val="134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8"/>
      <color rgb="FFFFFFFF"/>
      <name val="Arial"/>
      <charset val="134"/>
    </font>
    <font>
      <i/>
      <sz val="8"/>
      <color rgb="FF777777"/>
      <name val="Arial"/>
      <charset val="134"/>
    </font>
    <font>
      <sz val="8"/>
      <color rgb="FF333333"/>
      <name val="Arial"/>
      <charset val="134"/>
    </font>
    <font>
      <sz val="8"/>
      <color rgb="FF4C46B0"/>
      <name val="Arial"/>
      <charset val="134"/>
    </font>
    <font>
      <sz val="8"/>
      <color rgb="FF0A6647"/>
      <name val="Arial"/>
      <charset val="134"/>
    </font>
    <font>
      <sz val="9"/>
      <color rgb="FF9552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2C3E6B"/>
        <bgColor indexed="64"/>
      </patternFill>
    </fill>
    <fill>
      <patternFill patternType="solid">
        <fgColor rgb="FFEBE9FD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E8F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5EE"/>
        <bgColor indexed="64"/>
      </patternFill>
    </fill>
    <fill>
      <patternFill patternType="solid">
        <fgColor rgb="FFFEF3E2"/>
        <bgColor indexed="64"/>
      </patternFill>
    </fill>
    <fill>
      <patternFill patternType="solid">
        <fgColor rgb="FFFDE9E5"/>
        <bgColor indexed="64"/>
      </patternFill>
    </fill>
    <fill>
      <patternFill patternType="solid">
        <fgColor rgb="FF3D5A94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1558A6"/>
        <bgColor indexed="64"/>
      </patternFill>
    </fill>
    <fill>
      <patternFill patternType="solid">
        <fgColor rgb="FF198754"/>
        <bgColor indexed="64"/>
      </patternFill>
    </fill>
    <fill>
      <patternFill patternType="solid">
        <fgColor rgb="FFC2500A"/>
        <bgColor indexed="64"/>
      </patternFill>
    </fill>
    <fill>
      <patternFill patternType="solid">
        <fgColor rgb="FF6425B3"/>
        <bgColor indexed="64"/>
      </patternFill>
    </fill>
    <fill>
      <patternFill patternType="solid">
        <fgColor rgb="FFD62728"/>
        <bgColor indexed="64"/>
      </patternFill>
    </fill>
    <fill>
      <patternFill patternType="solid">
        <fgColor rgb="FF003580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2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3" borderId="7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30" fillId="24" borderId="7" applyNumberFormat="0" applyAlignment="0" applyProtection="0">
      <alignment vertical="center"/>
    </xf>
    <xf numFmtId="0" fontId="31" fillId="25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left" vertical="center" wrapText="1"/>
    </xf>
    <xf numFmtId="176" fontId="5" fillId="6" borderId="1" xfId="0" applyNumberFormat="1" applyFont="1" applyFill="1" applyBorder="1" applyAlignment="1">
      <alignment horizontal="center" vertical="center" wrapText="1"/>
    </xf>
    <xf numFmtId="176" fontId="5" fillId="7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177" fontId="5" fillId="6" borderId="1" xfId="0" applyNumberFormat="1" applyFont="1" applyFill="1" applyBorder="1" applyAlignment="1">
      <alignment horizontal="center" vertical="center" wrapText="1"/>
    </xf>
    <xf numFmtId="177" fontId="5" fillId="7" borderId="1" xfId="0" applyNumberFormat="1" applyFont="1" applyFill="1" applyBorder="1" applyAlignment="1">
      <alignment horizontal="center" vertical="center" wrapText="1"/>
    </xf>
    <xf numFmtId="177" fontId="6" fillId="6" borderId="1" xfId="0" applyNumberFormat="1" applyFont="1" applyFill="1" applyBorder="1" applyAlignment="1">
      <alignment horizontal="center" vertical="center" wrapText="1"/>
    </xf>
    <xf numFmtId="177" fontId="7" fillId="7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3" fillId="18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19" borderId="2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name val="Arial"/>
        <scheme val="none"/>
        <b val="1"/>
        <color rgb="FF1E6B21"/>
      </font>
      <fill>
        <patternFill patternType="solid">
          <fgColor rgb="FFC6EFCE"/>
        </patternFill>
      </fill>
    </dxf>
    <dxf>
      <font>
        <name val="Arial"/>
        <scheme val="none"/>
        <b val="1"/>
        <color rgb="FF9C0006"/>
      </font>
      <fill>
        <patternFill patternType="solid">
          <fgColor rgb="FFFFC7CE"/>
        </patternFill>
      </fill>
    </dxf>
    <dxf>
      <font>
        <name val="Arial"/>
        <scheme val="none"/>
        <b val="1"/>
        <color rgb="FF7D5A00"/>
      </font>
      <fill>
        <patternFill patternType="solid">
          <fgColor rgb="FFFFEB9C"/>
        </patternFill>
      </fill>
    </dxf>
    <dxf>
      <font>
        <name val="Arial"/>
        <scheme val="none"/>
        <b val="1"/>
        <color rgb="FF1A4E8A"/>
      </font>
      <fill>
        <patternFill patternType="solid">
          <fgColor rgb="FFEAF3F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5276"/>
  </sheetPr>
  <dimension ref="A1:AK35"/>
  <sheetViews>
    <sheetView showGridLines="0" zoomScale="89" zoomScaleNormal="89" workbookViewId="0">
      <pane xSplit="5" ySplit="4" topLeftCell="F11" activePane="bottomRight" state="frozen"/>
      <selection/>
      <selection pane="topRight"/>
      <selection pane="bottomLeft"/>
      <selection pane="bottomRight" activeCell="A2" sqref="A2:AK2"/>
    </sheetView>
  </sheetViews>
  <sheetFormatPr defaultColWidth="9" defaultRowHeight="16.8"/>
  <cols>
    <col min="1" max="2" width="5" customWidth="1"/>
    <col min="3" max="3" width="20" customWidth="1"/>
    <col min="4" max="4" width="54" customWidth="1"/>
    <col min="5" max="5" width="18" customWidth="1"/>
    <col min="6" max="6" width="12" customWidth="1"/>
    <col min="7" max="7" width="10" customWidth="1"/>
    <col min="8" max="8" width="8" customWidth="1"/>
    <col min="9" max="9" width="11" customWidth="1"/>
    <col min="10" max="10" width="12" customWidth="1"/>
    <col min="11" max="11" width="10" customWidth="1"/>
    <col min="12" max="12" width="8" customWidth="1"/>
    <col min="13" max="13" width="11" customWidth="1"/>
    <col min="14" max="14" width="12" customWidth="1"/>
    <col min="15" max="15" width="10" customWidth="1"/>
    <col min="16" max="16" width="8" customWidth="1"/>
    <col min="17" max="17" width="11" customWidth="1"/>
    <col min="18" max="18" width="12" customWidth="1"/>
    <col min="19" max="19" width="10" customWidth="1"/>
    <col min="20" max="20" width="8" customWidth="1"/>
    <col min="21" max="21" width="11" customWidth="1"/>
    <col min="22" max="22" width="12" hidden="1" customWidth="1"/>
    <col min="23" max="23" width="10" hidden="1" customWidth="1"/>
    <col min="24" max="24" width="8" hidden="1" customWidth="1"/>
    <col min="25" max="25" width="11" hidden="1" customWidth="1"/>
    <col min="26" max="26" width="12" hidden="1" customWidth="1"/>
    <col min="27" max="27" width="10" hidden="1" customWidth="1"/>
    <col min="28" max="28" width="8" hidden="1" customWidth="1"/>
    <col min="29" max="29" width="11" hidden="1" customWidth="1"/>
    <col min="30" max="30" width="12" hidden="1" customWidth="1"/>
    <col min="31" max="31" width="10" hidden="1" customWidth="1"/>
    <col min="32" max="32" width="8" hidden="1" customWidth="1"/>
    <col min="33" max="33" width="11" hidden="1" customWidth="1"/>
    <col min="34" max="34" width="12" hidden="1" customWidth="1"/>
    <col min="35" max="35" width="10" hidden="1" customWidth="1"/>
    <col min="36" max="36" width="8" hidden="1" customWidth="1"/>
    <col min="37" max="37" width="11" hidden="1" customWidth="1"/>
  </cols>
  <sheetData>
    <row r="1" ht="30" customHeight="1" spans="1:37">
      <c r="A1" s="24" t="s">
        <v>0</v>
      </c>
    </row>
    <row r="2" ht="16" customHeight="1" spans="1:37">
      <c r="A2" s="2" t="s">
        <v>1</v>
      </c>
    </row>
    <row r="3" ht="28" customHeight="1" spans="1:37">
      <c r="A3" s="42" t="s">
        <v>2</v>
      </c>
      <c r="B3" s="42" t="s">
        <v>3</v>
      </c>
      <c r="C3" s="42" t="s">
        <v>4</v>
      </c>
      <c r="D3" s="42" t="s">
        <v>5</v>
      </c>
      <c r="E3" s="42" t="s">
        <v>6</v>
      </c>
      <c r="F3" s="43" t="s">
        <v>7</v>
      </c>
      <c r="N3" s="44" t="s">
        <v>8</v>
      </c>
      <c r="V3" s="45" t="s">
        <v>9</v>
      </c>
      <c r="AD3" s="46" t="s">
        <v>10</v>
      </c>
    </row>
    <row r="4" ht="38" customHeight="1" spans="1:37">
      <c r="A4" s="47"/>
      <c r="B4" s="47"/>
      <c r="C4" s="47"/>
      <c r="D4" s="47"/>
      <c r="E4" s="47"/>
      <c r="F4" s="48" t="s">
        <v>11</v>
      </c>
      <c r="G4" s="49"/>
      <c r="H4" s="49"/>
      <c r="I4" s="49"/>
      <c r="J4" s="50" t="s">
        <v>12</v>
      </c>
      <c r="K4" s="49"/>
      <c r="L4" s="49"/>
      <c r="M4" s="49"/>
      <c r="N4" s="48" t="s">
        <v>11</v>
      </c>
      <c r="O4" s="49"/>
      <c r="P4" s="49"/>
      <c r="Q4" s="49"/>
      <c r="R4" s="50" t="s">
        <v>12</v>
      </c>
      <c r="S4" s="49"/>
      <c r="T4" s="49"/>
      <c r="U4" s="49"/>
      <c r="V4" s="48" t="s">
        <v>11</v>
      </c>
      <c r="W4" s="49"/>
      <c r="X4" s="49"/>
      <c r="Y4" s="49"/>
      <c r="Z4" s="50" t="s">
        <v>12</v>
      </c>
      <c r="AA4" s="49"/>
      <c r="AB4" s="49"/>
      <c r="AC4" s="49"/>
      <c r="AD4" s="48" t="s">
        <v>11</v>
      </c>
      <c r="AE4" s="49"/>
      <c r="AF4" s="49"/>
      <c r="AG4" s="49"/>
      <c r="AH4" s="50" t="s">
        <v>12</v>
      </c>
      <c r="AI4" s="49"/>
      <c r="AJ4" s="49"/>
      <c r="AK4" s="49"/>
    </row>
    <row r="5" ht="34" customHeight="1" spans="1:37">
      <c r="A5" s="47"/>
      <c r="B5" s="47"/>
      <c r="C5" s="47"/>
      <c r="D5" s="47"/>
      <c r="E5" s="47"/>
      <c r="F5" s="51" t="s">
        <v>13</v>
      </c>
      <c r="G5" s="51" t="s">
        <v>14</v>
      </c>
      <c r="H5" s="51" t="s">
        <v>15</v>
      </c>
      <c r="I5" s="51" t="s">
        <v>16</v>
      </c>
      <c r="J5" s="52" t="s">
        <v>13</v>
      </c>
      <c r="K5" s="52" t="s">
        <v>14</v>
      </c>
      <c r="L5" s="52" t="s">
        <v>15</v>
      </c>
      <c r="M5" s="52" t="s">
        <v>16</v>
      </c>
      <c r="N5" s="51" t="s">
        <v>13</v>
      </c>
      <c r="O5" s="51" t="s">
        <v>14</v>
      </c>
      <c r="P5" s="51" t="s">
        <v>15</v>
      </c>
      <c r="Q5" s="51" t="s">
        <v>16</v>
      </c>
      <c r="R5" s="52" t="s">
        <v>13</v>
      </c>
      <c r="S5" s="52" t="s">
        <v>14</v>
      </c>
      <c r="T5" s="52" t="s">
        <v>15</v>
      </c>
      <c r="U5" s="52" t="s">
        <v>16</v>
      </c>
      <c r="V5" s="51" t="s">
        <v>13</v>
      </c>
      <c r="W5" s="51" t="s">
        <v>14</v>
      </c>
      <c r="X5" s="51" t="s">
        <v>15</v>
      </c>
      <c r="Y5" s="51" t="s">
        <v>16</v>
      </c>
      <c r="Z5" s="52" t="s">
        <v>13</v>
      </c>
      <c r="AA5" s="52" t="s">
        <v>14</v>
      </c>
      <c r="AB5" s="52" t="s">
        <v>15</v>
      </c>
      <c r="AC5" s="52" t="s">
        <v>16</v>
      </c>
      <c r="AD5" s="51" t="s">
        <v>13</v>
      </c>
      <c r="AE5" s="51" t="s">
        <v>14</v>
      </c>
      <c r="AF5" s="51" t="s">
        <v>15</v>
      </c>
      <c r="AG5" s="51" t="s">
        <v>16</v>
      </c>
      <c r="AH5" s="52" t="s">
        <v>13</v>
      </c>
      <c r="AI5" s="52" t="s">
        <v>14</v>
      </c>
      <c r="AJ5" s="52" t="s">
        <v>15</v>
      </c>
      <c r="AK5" s="52" t="s">
        <v>16</v>
      </c>
    </row>
    <row r="6" ht="24" customHeight="1" spans="1:37">
      <c r="A6" s="4" t="s">
        <v>17</v>
      </c>
      <c r="B6" s="4" t="s">
        <v>18</v>
      </c>
      <c r="C6" s="53" t="s">
        <v>19</v>
      </c>
      <c r="D6" s="5" t="s">
        <v>20</v>
      </c>
      <c r="E6" s="6" t="s">
        <v>21</v>
      </c>
      <c r="F6" s="54" t="s">
        <v>22</v>
      </c>
      <c r="G6" s="54" t="s">
        <v>22</v>
      </c>
      <c r="H6" s="54" t="s">
        <v>23</v>
      </c>
      <c r="I6" s="54" t="s">
        <v>24</v>
      </c>
      <c r="J6" s="55" t="s">
        <v>25</v>
      </c>
      <c r="K6" s="55" t="s">
        <v>22</v>
      </c>
      <c r="L6" s="55">
        <v>2</v>
      </c>
      <c r="M6" s="55" t="s">
        <v>26</v>
      </c>
      <c r="N6" s="54" t="s">
        <v>22</v>
      </c>
      <c r="O6" s="54" t="s">
        <v>22</v>
      </c>
      <c r="P6" s="54" t="s">
        <v>23</v>
      </c>
      <c r="Q6" s="54" t="s">
        <v>24</v>
      </c>
      <c r="R6" s="55" t="s">
        <v>22</v>
      </c>
      <c r="S6" s="55" t="s">
        <v>22</v>
      </c>
      <c r="T6" s="55" t="s">
        <v>23</v>
      </c>
      <c r="U6" s="55" t="s">
        <v>24</v>
      </c>
      <c r="V6" s="54" t="s">
        <v>21</v>
      </c>
      <c r="W6" s="54" t="s">
        <v>21</v>
      </c>
      <c r="X6" s="54" t="s">
        <v>21</v>
      </c>
      <c r="Y6" s="54" t="s">
        <v>21</v>
      </c>
      <c r="Z6" s="55" t="s">
        <v>21</v>
      </c>
      <c r="AA6" s="55" t="s">
        <v>21</v>
      </c>
      <c r="AB6" s="55" t="s">
        <v>21</v>
      </c>
      <c r="AC6" s="55" t="s">
        <v>21</v>
      </c>
      <c r="AD6" s="54" t="s">
        <v>21</v>
      </c>
      <c r="AE6" s="54" t="s">
        <v>21</v>
      </c>
      <c r="AF6" s="54" t="s">
        <v>21</v>
      </c>
      <c r="AG6" s="54" t="s">
        <v>21</v>
      </c>
      <c r="AH6" s="55" t="s">
        <v>21</v>
      </c>
      <c r="AI6" s="55" t="s">
        <v>21</v>
      </c>
      <c r="AJ6" s="55" t="s">
        <v>21</v>
      </c>
      <c r="AK6" s="55" t="s">
        <v>21</v>
      </c>
    </row>
    <row r="7" ht="24" customHeight="1" spans="1:37">
      <c r="A7" s="4" t="s">
        <v>27</v>
      </c>
      <c r="B7" s="4" t="s">
        <v>18</v>
      </c>
      <c r="C7" s="53" t="s">
        <v>19</v>
      </c>
      <c r="D7" s="10" t="s">
        <v>28</v>
      </c>
      <c r="E7" s="11" t="s">
        <v>21</v>
      </c>
      <c r="F7" s="54" t="s">
        <v>22</v>
      </c>
      <c r="G7" s="54" t="s">
        <v>22</v>
      </c>
      <c r="H7" s="54" t="s">
        <v>23</v>
      </c>
      <c r="I7" s="54" t="s">
        <v>24</v>
      </c>
      <c r="J7" s="55" t="s">
        <v>22</v>
      </c>
      <c r="K7" s="55" t="s">
        <v>22</v>
      </c>
      <c r="L7" s="55" t="s">
        <v>23</v>
      </c>
      <c r="M7" s="55" t="s">
        <v>24</v>
      </c>
      <c r="N7" s="54" t="s">
        <v>22</v>
      </c>
      <c r="O7" s="54" t="s">
        <v>22</v>
      </c>
      <c r="P7" s="54" t="s">
        <v>23</v>
      </c>
      <c r="Q7" s="54" t="s">
        <v>24</v>
      </c>
      <c r="R7" s="55" t="s">
        <v>22</v>
      </c>
      <c r="S7" s="55" t="s">
        <v>22</v>
      </c>
      <c r="T7" s="55" t="s">
        <v>23</v>
      </c>
      <c r="U7" s="55" t="s">
        <v>24</v>
      </c>
      <c r="V7" s="54" t="s">
        <v>21</v>
      </c>
      <c r="W7" s="54" t="s">
        <v>21</v>
      </c>
      <c r="X7" s="54" t="s">
        <v>21</v>
      </c>
      <c r="Y7" s="54" t="s">
        <v>21</v>
      </c>
      <c r="Z7" s="55" t="s">
        <v>21</v>
      </c>
      <c r="AA7" s="55" t="s">
        <v>21</v>
      </c>
      <c r="AB7" s="55" t="s">
        <v>21</v>
      </c>
      <c r="AC7" s="55" t="s">
        <v>21</v>
      </c>
      <c r="AD7" s="54" t="s">
        <v>21</v>
      </c>
      <c r="AE7" s="54" t="s">
        <v>21</v>
      </c>
      <c r="AF7" s="54" t="s">
        <v>21</v>
      </c>
      <c r="AG7" s="54" t="s">
        <v>21</v>
      </c>
      <c r="AH7" s="55" t="s">
        <v>21</v>
      </c>
      <c r="AI7" s="55" t="s">
        <v>21</v>
      </c>
      <c r="AJ7" s="55" t="s">
        <v>21</v>
      </c>
      <c r="AK7" s="55" t="s">
        <v>21</v>
      </c>
    </row>
    <row r="8" ht="24" customHeight="1" spans="1:37">
      <c r="A8" s="4" t="s">
        <v>29</v>
      </c>
      <c r="B8" s="4" t="s">
        <v>18</v>
      </c>
      <c r="C8" s="53" t="s">
        <v>19</v>
      </c>
      <c r="D8" s="5" t="s">
        <v>30</v>
      </c>
      <c r="E8" s="6" t="s">
        <v>21</v>
      </c>
      <c r="F8" s="54" t="s">
        <v>22</v>
      </c>
      <c r="G8" s="54" t="s">
        <v>22</v>
      </c>
      <c r="H8" s="54" t="s">
        <v>23</v>
      </c>
      <c r="I8" s="54" t="s">
        <v>24</v>
      </c>
      <c r="J8" s="55" t="s">
        <v>25</v>
      </c>
      <c r="K8" s="55" t="s">
        <v>22</v>
      </c>
      <c r="L8" s="55">
        <v>4</v>
      </c>
      <c r="M8" s="55" t="s">
        <v>26</v>
      </c>
      <c r="N8" s="54" t="s">
        <v>25</v>
      </c>
      <c r="O8" s="54" t="s">
        <v>25</v>
      </c>
      <c r="P8" s="54">
        <v>5</v>
      </c>
      <c r="Q8" s="54" t="s">
        <v>24</v>
      </c>
      <c r="R8" s="55" t="s">
        <v>25</v>
      </c>
      <c r="S8" s="55" t="s">
        <v>25</v>
      </c>
      <c r="T8" s="55">
        <v>2</v>
      </c>
      <c r="U8" s="55" t="s">
        <v>26</v>
      </c>
      <c r="V8" s="54" t="s">
        <v>21</v>
      </c>
      <c r="W8" s="54" t="s">
        <v>21</v>
      </c>
      <c r="X8" s="54" t="s">
        <v>21</v>
      </c>
      <c r="Y8" s="54" t="s">
        <v>21</v>
      </c>
      <c r="Z8" s="55" t="s">
        <v>21</v>
      </c>
      <c r="AA8" s="55" t="s">
        <v>21</v>
      </c>
      <c r="AB8" s="55" t="s">
        <v>21</v>
      </c>
      <c r="AC8" s="55" t="s">
        <v>21</v>
      </c>
      <c r="AD8" s="54" t="s">
        <v>21</v>
      </c>
      <c r="AE8" s="54" t="s">
        <v>21</v>
      </c>
      <c r="AF8" s="54" t="s">
        <v>21</v>
      </c>
      <c r="AG8" s="54" t="s">
        <v>21</v>
      </c>
      <c r="AH8" s="55" t="s">
        <v>21</v>
      </c>
      <c r="AI8" s="55" t="s">
        <v>21</v>
      </c>
      <c r="AJ8" s="55" t="s">
        <v>21</v>
      </c>
      <c r="AK8" s="55" t="s">
        <v>21</v>
      </c>
    </row>
    <row r="9" ht="24" customHeight="1" spans="1:37">
      <c r="A9" s="4" t="s">
        <v>31</v>
      </c>
      <c r="B9" s="4" t="s">
        <v>18</v>
      </c>
      <c r="C9" s="53" t="s">
        <v>19</v>
      </c>
      <c r="D9" s="10" t="s">
        <v>32</v>
      </c>
      <c r="E9" s="11" t="s">
        <v>21</v>
      </c>
      <c r="F9" s="54" t="s">
        <v>22</v>
      </c>
      <c r="G9" s="54" t="s">
        <v>22</v>
      </c>
      <c r="H9" s="54" t="s">
        <v>23</v>
      </c>
      <c r="I9" s="54" t="s">
        <v>24</v>
      </c>
      <c r="J9" s="55" t="s">
        <v>22</v>
      </c>
      <c r="K9" s="55" t="s">
        <v>22</v>
      </c>
      <c r="L9" s="55" t="s">
        <v>23</v>
      </c>
      <c r="M9" s="55" t="s">
        <v>24</v>
      </c>
      <c r="N9" s="54" t="s">
        <v>22</v>
      </c>
      <c r="O9" s="54" t="s">
        <v>22</v>
      </c>
      <c r="P9" s="54" t="s">
        <v>23</v>
      </c>
      <c r="Q9" s="54" t="s">
        <v>24</v>
      </c>
      <c r="R9" s="55" t="s">
        <v>22</v>
      </c>
      <c r="S9" s="55" t="s">
        <v>22</v>
      </c>
      <c r="T9" s="55" t="s">
        <v>23</v>
      </c>
      <c r="U9" s="55" t="s">
        <v>24</v>
      </c>
      <c r="V9" s="54" t="s">
        <v>21</v>
      </c>
      <c r="W9" s="54" t="s">
        <v>21</v>
      </c>
      <c r="X9" s="54" t="s">
        <v>21</v>
      </c>
      <c r="Y9" s="54" t="s">
        <v>21</v>
      </c>
      <c r="Z9" s="55" t="s">
        <v>21</v>
      </c>
      <c r="AA9" s="55" t="s">
        <v>21</v>
      </c>
      <c r="AB9" s="55" t="s">
        <v>21</v>
      </c>
      <c r="AC9" s="55" t="s">
        <v>21</v>
      </c>
      <c r="AD9" s="54" t="s">
        <v>21</v>
      </c>
      <c r="AE9" s="54" t="s">
        <v>21</v>
      </c>
      <c r="AF9" s="54" t="s">
        <v>21</v>
      </c>
      <c r="AG9" s="54" t="s">
        <v>21</v>
      </c>
      <c r="AH9" s="55" t="s">
        <v>21</v>
      </c>
      <c r="AI9" s="55" t="s">
        <v>21</v>
      </c>
      <c r="AJ9" s="55" t="s">
        <v>21</v>
      </c>
      <c r="AK9" s="55" t="s">
        <v>21</v>
      </c>
    </row>
    <row r="10" ht="24" customHeight="1" spans="1:37">
      <c r="A10" s="4" t="s">
        <v>33</v>
      </c>
      <c r="B10" s="4" t="s">
        <v>18</v>
      </c>
      <c r="C10" s="53" t="s">
        <v>19</v>
      </c>
      <c r="D10" s="5" t="s">
        <v>34</v>
      </c>
      <c r="E10" s="6" t="s">
        <v>21</v>
      </c>
      <c r="F10" s="54" t="s">
        <v>22</v>
      </c>
      <c r="G10" s="54" t="s">
        <v>22</v>
      </c>
      <c r="H10" s="54" t="s">
        <v>23</v>
      </c>
      <c r="I10" s="54" t="s">
        <v>24</v>
      </c>
      <c r="J10" s="55" t="s">
        <v>22</v>
      </c>
      <c r="K10" s="55" t="s">
        <v>22</v>
      </c>
      <c r="L10" s="55" t="s">
        <v>23</v>
      </c>
      <c r="M10" s="55" t="s">
        <v>24</v>
      </c>
      <c r="N10" s="54" t="s">
        <v>22</v>
      </c>
      <c r="O10" s="54" t="s">
        <v>22</v>
      </c>
      <c r="P10" s="54" t="s">
        <v>23</v>
      </c>
      <c r="Q10" s="54" t="s">
        <v>24</v>
      </c>
      <c r="R10" s="55" t="s">
        <v>22</v>
      </c>
      <c r="S10" s="55" t="s">
        <v>22</v>
      </c>
      <c r="T10" s="55" t="s">
        <v>23</v>
      </c>
      <c r="U10" s="55" t="s">
        <v>24</v>
      </c>
      <c r="V10" s="54" t="s">
        <v>21</v>
      </c>
      <c r="W10" s="54" t="s">
        <v>21</v>
      </c>
      <c r="X10" s="54" t="s">
        <v>21</v>
      </c>
      <c r="Y10" s="54" t="s">
        <v>21</v>
      </c>
      <c r="Z10" s="55" t="s">
        <v>21</v>
      </c>
      <c r="AA10" s="55" t="s">
        <v>21</v>
      </c>
      <c r="AB10" s="55" t="s">
        <v>21</v>
      </c>
      <c r="AC10" s="55" t="s">
        <v>21</v>
      </c>
      <c r="AD10" s="54" t="s">
        <v>21</v>
      </c>
      <c r="AE10" s="54" t="s">
        <v>21</v>
      </c>
      <c r="AF10" s="54" t="s">
        <v>21</v>
      </c>
      <c r="AG10" s="54" t="s">
        <v>21</v>
      </c>
      <c r="AH10" s="55" t="s">
        <v>21</v>
      </c>
      <c r="AI10" s="55" t="s">
        <v>21</v>
      </c>
      <c r="AJ10" s="55" t="s">
        <v>21</v>
      </c>
      <c r="AK10" s="55" t="s">
        <v>21</v>
      </c>
    </row>
    <row r="11" ht="24" customHeight="1" spans="1:37">
      <c r="A11" s="4" t="s">
        <v>35</v>
      </c>
      <c r="B11" s="4" t="s">
        <v>18</v>
      </c>
      <c r="C11" s="53" t="s">
        <v>19</v>
      </c>
      <c r="D11" s="10" t="s">
        <v>36</v>
      </c>
      <c r="E11" s="11" t="s">
        <v>21</v>
      </c>
      <c r="F11" s="54" t="s">
        <v>22</v>
      </c>
      <c r="G11" s="54" t="s">
        <v>22</v>
      </c>
      <c r="H11" s="54" t="s">
        <v>23</v>
      </c>
      <c r="I11" s="54" t="s">
        <v>24</v>
      </c>
      <c r="J11" s="55" t="s">
        <v>22</v>
      </c>
      <c r="K11" s="55" t="s">
        <v>22</v>
      </c>
      <c r="L11" s="55" t="s">
        <v>23</v>
      </c>
      <c r="M11" s="55" t="s">
        <v>24</v>
      </c>
      <c r="N11" s="54" t="s">
        <v>22</v>
      </c>
      <c r="O11" s="54" t="s">
        <v>22</v>
      </c>
      <c r="P11" s="54" t="s">
        <v>23</v>
      </c>
      <c r="Q11" s="54" t="s">
        <v>24</v>
      </c>
      <c r="R11" s="55" t="s">
        <v>22</v>
      </c>
      <c r="S11" s="55" t="s">
        <v>22</v>
      </c>
      <c r="T11" s="55" t="s">
        <v>23</v>
      </c>
      <c r="U11" s="55" t="s">
        <v>24</v>
      </c>
      <c r="V11" s="54" t="s">
        <v>21</v>
      </c>
      <c r="W11" s="54" t="s">
        <v>21</v>
      </c>
      <c r="X11" s="54" t="s">
        <v>21</v>
      </c>
      <c r="Y11" s="54" t="s">
        <v>21</v>
      </c>
      <c r="Z11" s="55" t="s">
        <v>21</v>
      </c>
      <c r="AA11" s="55" t="s">
        <v>21</v>
      </c>
      <c r="AB11" s="55" t="s">
        <v>21</v>
      </c>
      <c r="AC11" s="55" t="s">
        <v>21</v>
      </c>
      <c r="AD11" s="54" t="s">
        <v>21</v>
      </c>
      <c r="AE11" s="54" t="s">
        <v>21</v>
      </c>
      <c r="AF11" s="54" t="s">
        <v>21</v>
      </c>
      <c r="AG11" s="54" t="s">
        <v>21</v>
      </c>
      <c r="AH11" s="55" t="s">
        <v>21</v>
      </c>
      <c r="AI11" s="55" t="s">
        <v>21</v>
      </c>
      <c r="AJ11" s="55" t="s">
        <v>21</v>
      </c>
      <c r="AK11" s="55" t="s">
        <v>21</v>
      </c>
    </row>
    <row r="12" ht="24" customHeight="1" spans="1:37">
      <c r="A12" s="4" t="s">
        <v>37</v>
      </c>
      <c r="B12" s="4" t="s">
        <v>18</v>
      </c>
      <c r="C12" s="53" t="s">
        <v>19</v>
      </c>
      <c r="D12" s="5" t="s">
        <v>38</v>
      </c>
      <c r="E12" s="6" t="s">
        <v>21</v>
      </c>
      <c r="F12" s="54" t="s">
        <v>22</v>
      </c>
      <c r="G12" s="54" t="s">
        <v>22</v>
      </c>
      <c r="H12" s="54" t="s">
        <v>23</v>
      </c>
      <c r="I12" s="54" t="s">
        <v>24</v>
      </c>
      <c r="J12" s="55" t="s">
        <v>22</v>
      </c>
      <c r="K12" s="55" t="s">
        <v>22</v>
      </c>
      <c r="L12" s="55" t="s">
        <v>23</v>
      </c>
      <c r="M12" s="55" t="s">
        <v>24</v>
      </c>
      <c r="N12" s="54" t="s">
        <v>22</v>
      </c>
      <c r="O12" s="54" t="s">
        <v>22</v>
      </c>
      <c r="P12" s="54" t="s">
        <v>23</v>
      </c>
      <c r="Q12" s="54" t="s">
        <v>24</v>
      </c>
      <c r="R12" s="55" t="s">
        <v>22</v>
      </c>
      <c r="S12" s="55" t="s">
        <v>22</v>
      </c>
      <c r="T12" s="55" t="s">
        <v>23</v>
      </c>
      <c r="U12" s="55" t="s">
        <v>24</v>
      </c>
      <c r="V12" s="54" t="s">
        <v>21</v>
      </c>
      <c r="W12" s="54" t="s">
        <v>21</v>
      </c>
      <c r="X12" s="54" t="s">
        <v>21</v>
      </c>
      <c r="Y12" s="54" t="s">
        <v>21</v>
      </c>
      <c r="Z12" s="55" t="s">
        <v>21</v>
      </c>
      <c r="AA12" s="55" t="s">
        <v>21</v>
      </c>
      <c r="AB12" s="55" t="s">
        <v>21</v>
      </c>
      <c r="AC12" s="55" t="s">
        <v>21</v>
      </c>
      <c r="AD12" s="54" t="s">
        <v>21</v>
      </c>
      <c r="AE12" s="54" t="s">
        <v>21</v>
      </c>
      <c r="AF12" s="54" t="s">
        <v>21</v>
      </c>
      <c r="AG12" s="54" t="s">
        <v>21</v>
      </c>
      <c r="AH12" s="55" t="s">
        <v>21</v>
      </c>
      <c r="AI12" s="55" t="s">
        <v>21</v>
      </c>
      <c r="AJ12" s="55" t="s">
        <v>21</v>
      </c>
      <c r="AK12" s="55" t="s">
        <v>21</v>
      </c>
    </row>
    <row r="13" ht="24" customHeight="1" spans="1:37">
      <c r="A13" s="4" t="s">
        <v>39</v>
      </c>
      <c r="B13" s="4" t="s">
        <v>18</v>
      </c>
      <c r="C13" s="53" t="s">
        <v>19</v>
      </c>
      <c r="D13" s="10" t="s">
        <v>40</v>
      </c>
      <c r="E13" s="11" t="s">
        <v>21</v>
      </c>
      <c r="F13" s="54" t="s">
        <v>22</v>
      </c>
      <c r="G13" s="54" t="s">
        <v>22</v>
      </c>
      <c r="H13" s="54" t="s">
        <v>23</v>
      </c>
      <c r="I13" s="54" t="s">
        <v>24</v>
      </c>
      <c r="J13" s="55" t="s">
        <v>22</v>
      </c>
      <c r="K13" s="55" t="s">
        <v>22</v>
      </c>
      <c r="L13" s="55" t="s">
        <v>23</v>
      </c>
      <c r="M13" s="55" t="s">
        <v>24</v>
      </c>
      <c r="N13" s="54" t="s">
        <v>22</v>
      </c>
      <c r="O13" s="54" t="s">
        <v>22</v>
      </c>
      <c r="P13" s="54" t="s">
        <v>23</v>
      </c>
      <c r="Q13" s="54" t="s">
        <v>24</v>
      </c>
      <c r="R13" s="55" t="s">
        <v>22</v>
      </c>
      <c r="S13" s="55" t="s">
        <v>22</v>
      </c>
      <c r="T13" s="55" t="s">
        <v>23</v>
      </c>
      <c r="U13" s="55" t="s">
        <v>24</v>
      </c>
      <c r="V13" s="54" t="s">
        <v>21</v>
      </c>
      <c r="W13" s="54" t="s">
        <v>21</v>
      </c>
      <c r="X13" s="54" t="s">
        <v>21</v>
      </c>
      <c r="Y13" s="54" t="s">
        <v>21</v>
      </c>
      <c r="Z13" s="55" t="s">
        <v>21</v>
      </c>
      <c r="AA13" s="55" t="s">
        <v>21</v>
      </c>
      <c r="AB13" s="55" t="s">
        <v>21</v>
      </c>
      <c r="AC13" s="55" t="s">
        <v>21</v>
      </c>
      <c r="AD13" s="54" t="s">
        <v>21</v>
      </c>
      <c r="AE13" s="54" t="s">
        <v>21</v>
      </c>
      <c r="AF13" s="54" t="s">
        <v>21</v>
      </c>
      <c r="AG13" s="54" t="s">
        <v>21</v>
      </c>
      <c r="AH13" s="55" t="s">
        <v>21</v>
      </c>
      <c r="AI13" s="55" t="s">
        <v>21</v>
      </c>
      <c r="AJ13" s="55" t="s">
        <v>21</v>
      </c>
      <c r="AK13" s="55" t="s">
        <v>21</v>
      </c>
    </row>
    <row r="14" ht="24" customHeight="1" spans="1:37">
      <c r="A14" s="4" t="s">
        <v>41</v>
      </c>
      <c r="B14" s="4" t="s">
        <v>18</v>
      </c>
      <c r="C14" s="53" t="s">
        <v>19</v>
      </c>
      <c r="D14" s="5" t="s">
        <v>42</v>
      </c>
      <c r="E14" s="6" t="s">
        <v>21</v>
      </c>
      <c r="F14" s="54" t="s">
        <v>22</v>
      </c>
      <c r="G14" s="54" t="s">
        <v>22</v>
      </c>
      <c r="H14" s="54" t="s">
        <v>23</v>
      </c>
      <c r="I14" s="54" t="s">
        <v>24</v>
      </c>
      <c r="J14" s="55" t="s">
        <v>22</v>
      </c>
      <c r="K14" s="55" t="s">
        <v>22</v>
      </c>
      <c r="L14" s="55" t="s">
        <v>23</v>
      </c>
      <c r="M14" s="55" t="s">
        <v>24</v>
      </c>
      <c r="N14" s="54" t="s">
        <v>22</v>
      </c>
      <c r="O14" s="54" t="s">
        <v>22</v>
      </c>
      <c r="P14" s="54" t="s">
        <v>23</v>
      </c>
      <c r="Q14" s="54" t="s">
        <v>24</v>
      </c>
      <c r="R14" s="55" t="s">
        <v>22</v>
      </c>
      <c r="S14" s="55" t="s">
        <v>22</v>
      </c>
      <c r="T14" s="55" t="s">
        <v>23</v>
      </c>
      <c r="U14" s="55" t="s">
        <v>24</v>
      </c>
      <c r="V14" s="54" t="s">
        <v>21</v>
      </c>
      <c r="W14" s="54" t="s">
        <v>21</v>
      </c>
      <c r="X14" s="54" t="s">
        <v>21</v>
      </c>
      <c r="Y14" s="54" t="s">
        <v>21</v>
      </c>
      <c r="Z14" s="55" t="s">
        <v>21</v>
      </c>
      <c r="AA14" s="55" t="s">
        <v>21</v>
      </c>
      <c r="AB14" s="55" t="s">
        <v>21</v>
      </c>
      <c r="AC14" s="55" t="s">
        <v>21</v>
      </c>
      <c r="AD14" s="54" t="s">
        <v>21</v>
      </c>
      <c r="AE14" s="54" t="s">
        <v>21</v>
      </c>
      <c r="AF14" s="54" t="s">
        <v>21</v>
      </c>
      <c r="AG14" s="54" t="s">
        <v>21</v>
      </c>
      <c r="AH14" s="55" t="s">
        <v>21</v>
      </c>
      <c r="AI14" s="55" t="s">
        <v>21</v>
      </c>
      <c r="AJ14" s="55" t="s">
        <v>21</v>
      </c>
      <c r="AK14" s="55" t="s">
        <v>21</v>
      </c>
    </row>
    <row r="15" ht="24" customHeight="1" spans="1:37">
      <c r="A15" s="4" t="s">
        <v>43</v>
      </c>
      <c r="B15" s="4" t="s">
        <v>18</v>
      </c>
      <c r="C15" s="53" t="s">
        <v>19</v>
      </c>
      <c r="D15" s="10" t="s">
        <v>44</v>
      </c>
      <c r="E15" s="11"/>
      <c r="F15" s="54" t="s">
        <v>25</v>
      </c>
      <c r="G15" s="54" t="s">
        <v>22</v>
      </c>
      <c r="H15" s="54">
        <v>3</v>
      </c>
      <c r="I15" s="54" t="s">
        <v>24</v>
      </c>
      <c r="J15" s="55" t="s">
        <v>22</v>
      </c>
      <c r="K15" s="55" t="s">
        <v>22</v>
      </c>
      <c r="L15" s="55" t="s">
        <v>23</v>
      </c>
      <c r="M15" s="55" t="s">
        <v>24</v>
      </c>
      <c r="N15" s="54" t="s">
        <v>25</v>
      </c>
      <c r="O15" s="54" t="s">
        <v>25</v>
      </c>
      <c r="P15" s="54">
        <v>3</v>
      </c>
      <c r="Q15" s="54" t="s">
        <v>24</v>
      </c>
      <c r="R15" s="55" t="s">
        <v>25</v>
      </c>
      <c r="S15" s="55" t="s">
        <v>25</v>
      </c>
      <c r="T15" s="55">
        <v>2</v>
      </c>
      <c r="U15" s="55" t="s">
        <v>24</v>
      </c>
      <c r="V15" s="54"/>
      <c r="W15" s="54"/>
      <c r="X15" s="54"/>
      <c r="Y15" s="54"/>
      <c r="Z15" s="55"/>
      <c r="AA15" s="55"/>
      <c r="AB15" s="55"/>
      <c r="AC15" s="55"/>
      <c r="AD15" s="54"/>
      <c r="AE15" s="54"/>
      <c r="AF15" s="54"/>
      <c r="AG15" s="54"/>
      <c r="AH15" s="55"/>
      <c r="AI15" s="55"/>
      <c r="AJ15" s="55"/>
      <c r="AK15" s="55"/>
    </row>
    <row r="16" ht="24" customHeight="1" spans="1:37">
      <c r="A16" s="4" t="s">
        <v>45</v>
      </c>
      <c r="B16" s="4" t="s">
        <v>18</v>
      </c>
      <c r="C16" s="53" t="s">
        <v>19</v>
      </c>
      <c r="D16" s="5" t="s">
        <v>46</v>
      </c>
      <c r="E16" s="6" t="s">
        <v>21</v>
      </c>
      <c r="F16" s="54" t="s">
        <v>22</v>
      </c>
      <c r="G16" s="54" t="s">
        <v>22</v>
      </c>
      <c r="H16" s="54" t="s">
        <v>23</v>
      </c>
      <c r="I16" s="54" t="s">
        <v>24</v>
      </c>
      <c r="J16" s="55" t="s">
        <v>25</v>
      </c>
      <c r="K16" s="55" t="s">
        <v>22</v>
      </c>
      <c r="L16" s="55">
        <v>2</v>
      </c>
      <c r="M16" s="55" t="s">
        <v>24</v>
      </c>
      <c r="N16" s="54" t="s">
        <v>22</v>
      </c>
      <c r="O16" s="54" t="s">
        <v>22</v>
      </c>
      <c r="P16" s="54" t="s">
        <v>23</v>
      </c>
      <c r="Q16" s="54" t="s">
        <v>24</v>
      </c>
      <c r="R16" s="55" t="s">
        <v>25</v>
      </c>
      <c r="S16" s="55" t="s">
        <v>25</v>
      </c>
      <c r="T16" s="55">
        <v>3</v>
      </c>
      <c r="U16" s="55" t="s">
        <v>24</v>
      </c>
      <c r="V16" s="54" t="s">
        <v>21</v>
      </c>
      <c r="W16" s="54" t="s">
        <v>21</v>
      </c>
      <c r="X16" s="54" t="s">
        <v>21</v>
      </c>
      <c r="Y16" s="54" t="s">
        <v>21</v>
      </c>
      <c r="Z16" s="55" t="s">
        <v>21</v>
      </c>
      <c r="AA16" s="55" t="s">
        <v>21</v>
      </c>
      <c r="AB16" s="55" t="s">
        <v>21</v>
      </c>
      <c r="AC16" s="55" t="s">
        <v>21</v>
      </c>
      <c r="AD16" s="54" t="s">
        <v>21</v>
      </c>
      <c r="AE16" s="54" t="s">
        <v>21</v>
      </c>
      <c r="AF16" s="54" t="s">
        <v>21</v>
      </c>
      <c r="AG16" s="54" t="s">
        <v>21</v>
      </c>
      <c r="AH16" s="55" t="s">
        <v>21</v>
      </c>
      <c r="AI16" s="55" t="s">
        <v>21</v>
      </c>
      <c r="AJ16" s="55" t="s">
        <v>21</v>
      </c>
      <c r="AK16" s="55" t="s">
        <v>21</v>
      </c>
    </row>
    <row r="17" ht="24" customHeight="1" spans="1:37">
      <c r="A17" s="13" t="s">
        <v>47</v>
      </c>
      <c r="B17" s="13" t="s">
        <v>48</v>
      </c>
      <c r="C17" s="56" t="s">
        <v>49</v>
      </c>
      <c r="D17" s="14" t="s">
        <v>50</v>
      </c>
      <c r="E17" s="15" t="s">
        <v>21</v>
      </c>
      <c r="F17" s="54" t="s">
        <v>25</v>
      </c>
      <c r="G17" s="54" t="s">
        <v>22</v>
      </c>
      <c r="H17" s="54">
        <v>1</v>
      </c>
      <c r="I17" s="54" t="s">
        <v>24</v>
      </c>
      <c r="J17" s="55" t="s">
        <v>25</v>
      </c>
      <c r="K17" s="55" t="s">
        <v>22</v>
      </c>
      <c r="L17" s="55">
        <v>1</v>
      </c>
      <c r="M17" s="55" t="s">
        <v>24</v>
      </c>
      <c r="N17" s="54" t="s">
        <v>25</v>
      </c>
      <c r="O17" s="54" t="s">
        <v>25</v>
      </c>
      <c r="P17" s="54">
        <v>3</v>
      </c>
      <c r="Q17" s="54" t="s">
        <v>24</v>
      </c>
      <c r="R17" s="55" t="s">
        <v>25</v>
      </c>
      <c r="S17" s="55" t="s">
        <v>25</v>
      </c>
      <c r="T17" s="55">
        <v>1</v>
      </c>
      <c r="U17" s="55" t="s">
        <v>26</v>
      </c>
      <c r="V17" s="54" t="s">
        <v>21</v>
      </c>
      <c r="W17" s="54" t="s">
        <v>21</v>
      </c>
      <c r="X17" s="54" t="s">
        <v>21</v>
      </c>
      <c r="Y17" s="54" t="s">
        <v>21</v>
      </c>
      <c r="Z17" s="55" t="s">
        <v>21</v>
      </c>
      <c r="AA17" s="55" t="s">
        <v>21</v>
      </c>
      <c r="AB17" s="55" t="s">
        <v>21</v>
      </c>
      <c r="AC17" s="55" t="s">
        <v>21</v>
      </c>
      <c r="AD17" s="54" t="s">
        <v>21</v>
      </c>
      <c r="AE17" s="54" t="s">
        <v>21</v>
      </c>
      <c r="AF17" s="54" t="s">
        <v>21</v>
      </c>
      <c r="AG17" s="54" t="s">
        <v>21</v>
      </c>
      <c r="AH17" s="55" t="s">
        <v>21</v>
      </c>
      <c r="AI17" s="55" t="s">
        <v>21</v>
      </c>
      <c r="AJ17" s="55" t="s">
        <v>21</v>
      </c>
      <c r="AK17" s="55" t="s">
        <v>21</v>
      </c>
    </row>
    <row r="18" ht="24" customHeight="1" spans="1:37">
      <c r="A18" s="13" t="s">
        <v>51</v>
      </c>
      <c r="B18" s="13" t="s">
        <v>48</v>
      </c>
      <c r="C18" s="56" t="s">
        <v>49</v>
      </c>
      <c r="D18" s="10" t="s">
        <v>52</v>
      </c>
      <c r="E18" s="11" t="s">
        <v>21</v>
      </c>
      <c r="F18" s="54" t="s">
        <v>22</v>
      </c>
      <c r="G18" s="54" t="s">
        <v>22</v>
      </c>
      <c r="H18" s="54" t="s">
        <v>23</v>
      </c>
      <c r="I18" s="54" t="s">
        <v>24</v>
      </c>
      <c r="J18" s="55" t="s">
        <v>22</v>
      </c>
      <c r="K18" s="55" t="s">
        <v>22</v>
      </c>
      <c r="L18" s="55" t="s">
        <v>23</v>
      </c>
      <c r="M18" s="55" t="s">
        <v>24</v>
      </c>
      <c r="N18" s="54" t="s">
        <v>25</v>
      </c>
      <c r="O18" s="54" t="s">
        <v>25</v>
      </c>
      <c r="P18" s="54">
        <v>5</v>
      </c>
      <c r="Q18" s="54" t="s">
        <v>26</v>
      </c>
      <c r="R18" s="55" t="s">
        <v>25</v>
      </c>
      <c r="S18" s="55" t="s">
        <v>25</v>
      </c>
      <c r="T18" s="55">
        <v>4</v>
      </c>
      <c r="U18" s="55" t="s">
        <v>26</v>
      </c>
      <c r="V18" s="54" t="s">
        <v>21</v>
      </c>
      <c r="W18" s="54" t="s">
        <v>21</v>
      </c>
      <c r="X18" s="54" t="s">
        <v>21</v>
      </c>
      <c r="Y18" s="54" t="s">
        <v>21</v>
      </c>
      <c r="Z18" s="55" t="s">
        <v>21</v>
      </c>
      <c r="AA18" s="55" t="s">
        <v>21</v>
      </c>
      <c r="AB18" s="55" t="s">
        <v>21</v>
      </c>
      <c r="AC18" s="55" t="s">
        <v>21</v>
      </c>
      <c r="AD18" s="54" t="s">
        <v>21</v>
      </c>
      <c r="AE18" s="54" t="s">
        <v>21</v>
      </c>
      <c r="AF18" s="54" t="s">
        <v>21</v>
      </c>
      <c r="AG18" s="54" t="s">
        <v>21</v>
      </c>
      <c r="AH18" s="55" t="s">
        <v>21</v>
      </c>
      <c r="AI18" s="55" t="s">
        <v>21</v>
      </c>
      <c r="AJ18" s="55" t="s">
        <v>21</v>
      </c>
      <c r="AK18" s="55" t="s">
        <v>21</v>
      </c>
    </row>
    <row r="19" ht="24" customHeight="1" spans="1:37">
      <c r="A19" s="13" t="s">
        <v>53</v>
      </c>
      <c r="B19" s="13" t="s">
        <v>48</v>
      </c>
      <c r="C19" s="56" t="s">
        <v>49</v>
      </c>
      <c r="D19" s="14" t="s">
        <v>54</v>
      </c>
      <c r="E19" s="15" t="s">
        <v>21</v>
      </c>
      <c r="F19" s="54" t="s">
        <v>22</v>
      </c>
      <c r="G19" s="54" t="s">
        <v>22</v>
      </c>
      <c r="H19" s="54" t="s">
        <v>23</v>
      </c>
      <c r="I19" s="54" t="s">
        <v>24</v>
      </c>
      <c r="J19" s="55" t="s">
        <v>22</v>
      </c>
      <c r="K19" s="55" t="s">
        <v>22</v>
      </c>
      <c r="L19" s="55" t="s">
        <v>23</v>
      </c>
      <c r="M19" s="55" t="s">
        <v>24</v>
      </c>
      <c r="N19" s="54" t="s">
        <v>22</v>
      </c>
      <c r="O19" s="54" t="s">
        <v>22</v>
      </c>
      <c r="P19" s="54" t="s">
        <v>23</v>
      </c>
      <c r="Q19" s="54" t="s">
        <v>24</v>
      </c>
      <c r="R19" s="55" t="s">
        <v>22</v>
      </c>
      <c r="S19" s="55" t="s">
        <v>22</v>
      </c>
      <c r="T19" s="55" t="s">
        <v>23</v>
      </c>
      <c r="U19" s="55" t="s">
        <v>24</v>
      </c>
      <c r="V19" s="54" t="s">
        <v>21</v>
      </c>
      <c r="W19" s="54" t="s">
        <v>21</v>
      </c>
      <c r="X19" s="54" t="s">
        <v>21</v>
      </c>
      <c r="Y19" s="54" t="s">
        <v>21</v>
      </c>
      <c r="Z19" s="55" t="s">
        <v>21</v>
      </c>
      <c r="AA19" s="55" t="s">
        <v>21</v>
      </c>
      <c r="AB19" s="55" t="s">
        <v>21</v>
      </c>
      <c r="AC19" s="55" t="s">
        <v>21</v>
      </c>
      <c r="AD19" s="54" t="s">
        <v>21</v>
      </c>
      <c r="AE19" s="54" t="s">
        <v>21</v>
      </c>
      <c r="AF19" s="54" t="s">
        <v>21</v>
      </c>
      <c r="AG19" s="54" t="s">
        <v>21</v>
      </c>
      <c r="AH19" s="55" t="s">
        <v>21</v>
      </c>
      <c r="AI19" s="55" t="s">
        <v>21</v>
      </c>
      <c r="AJ19" s="55" t="s">
        <v>21</v>
      </c>
      <c r="AK19" s="55" t="s">
        <v>21</v>
      </c>
    </row>
    <row r="20" ht="24" customHeight="1" spans="1:37">
      <c r="A20" s="13" t="s">
        <v>55</v>
      </c>
      <c r="B20" s="13" t="s">
        <v>48</v>
      </c>
      <c r="C20" s="56" t="s">
        <v>49</v>
      </c>
      <c r="D20" s="10" t="s">
        <v>56</v>
      </c>
      <c r="E20" s="11" t="s">
        <v>21</v>
      </c>
      <c r="F20" s="54" t="s">
        <v>22</v>
      </c>
      <c r="G20" s="54" t="s">
        <v>22</v>
      </c>
      <c r="H20" s="54" t="s">
        <v>23</v>
      </c>
      <c r="I20" s="54" t="s">
        <v>24</v>
      </c>
      <c r="J20" s="55" t="s">
        <v>22</v>
      </c>
      <c r="K20" s="55" t="s">
        <v>22</v>
      </c>
      <c r="L20" s="55" t="s">
        <v>23</v>
      </c>
      <c r="M20" s="55" t="s">
        <v>24</v>
      </c>
      <c r="N20" s="54" t="s">
        <v>22</v>
      </c>
      <c r="O20" s="54" t="s">
        <v>22</v>
      </c>
      <c r="P20" s="54" t="s">
        <v>23</v>
      </c>
      <c r="Q20" s="54" t="s">
        <v>24</v>
      </c>
      <c r="R20" s="55" t="s">
        <v>22</v>
      </c>
      <c r="S20" s="55" t="s">
        <v>22</v>
      </c>
      <c r="T20" s="55" t="s">
        <v>23</v>
      </c>
      <c r="U20" s="55" t="s">
        <v>24</v>
      </c>
      <c r="V20" s="54" t="s">
        <v>21</v>
      </c>
      <c r="W20" s="54" t="s">
        <v>21</v>
      </c>
      <c r="X20" s="54" t="s">
        <v>21</v>
      </c>
      <c r="Y20" s="54" t="s">
        <v>21</v>
      </c>
      <c r="Z20" s="55" t="s">
        <v>21</v>
      </c>
      <c r="AA20" s="55" t="s">
        <v>21</v>
      </c>
      <c r="AB20" s="55" t="s">
        <v>21</v>
      </c>
      <c r="AC20" s="55" t="s">
        <v>21</v>
      </c>
      <c r="AD20" s="54" t="s">
        <v>21</v>
      </c>
      <c r="AE20" s="54" t="s">
        <v>21</v>
      </c>
      <c r="AF20" s="54" t="s">
        <v>21</v>
      </c>
      <c r="AG20" s="54" t="s">
        <v>21</v>
      </c>
      <c r="AH20" s="55" t="s">
        <v>21</v>
      </c>
      <c r="AI20" s="55" t="s">
        <v>21</v>
      </c>
      <c r="AJ20" s="55" t="s">
        <v>21</v>
      </c>
      <c r="AK20" s="55" t="s">
        <v>21</v>
      </c>
    </row>
    <row r="21" ht="24" customHeight="1" spans="1:37">
      <c r="A21" s="13" t="s">
        <v>57</v>
      </c>
      <c r="B21" s="13" t="s">
        <v>48</v>
      </c>
      <c r="C21" s="56" t="s">
        <v>49</v>
      </c>
      <c r="D21" s="14" t="s">
        <v>58</v>
      </c>
      <c r="E21" s="15" t="s">
        <v>21</v>
      </c>
      <c r="F21" s="54" t="s">
        <v>25</v>
      </c>
      <c r="G21" s="54" t="s">
        <v>22</v>
      </c>
      <c r="H21" s="54">
        <v>2</v>
      </c>
      <c r="I21" s="54" t="s">
        <v>24</v>
      </c>
      <c r="J21" s="55" t="s">
        <v>22</v>
      </c>
      <c r="K21" s="55" t="s">
        <v>22</v>
      </c>
      <c r="L21" s="55" t="s">
        <v>23</v>
      </c>
      <c r="M21" s="55" t="s">
        <v>24</v>
      </c>
      <c r="N21" s="54" t="s">
        <v>25</v>
      </c>
      <c r="O21" s="54" t="s">
        <v>25</v>
      </c>
      <c r="P21" s="54">
        <v>4</v>
      </c>
      <c r="Q21" s="54" t="s">
        <v>24</v>
      </c>
      <c r="R21" s="55" t="s">
        <v>25</v>
      </c>
      <c r="S21" s="55" t="s">
        <v>25</v>
      </c>
      <c r="T21" s="55">
        <v>3</v>
      </c>
      <c r="U21" s="55" t="s">
        <v>24</v>
      </c>
      <c r="V21" s="54" t="s">
        <v>21</v>
      </c>
      <c r="W21" s="54" t="s">
        <v>21</v>
      </c>
      <c r="X21" s="54" t="s">
        <v>21</v>
      </c>
      <c r="Y21" s="54" t="s">
        <v>21</v>
      </c>
      <c r="Z21" s="55" t="s">
        <v>21</v>
      </c>
      <c r="AA21" s="55" t="s">
        <v>21</v>
      </c>
      <c r="AB21" s="55" t="s">
        <v>21</v>
      </c>
      <c r="AC21" s="55" t="s">
        <v>21</v>
      </c>
      <c r="AD21" s="54" t="s">
        <v>21</v>
      </c>
      <c r="AE21" s="54" t="s">
        <v>21</v>
      </c>
      <c r="AF21" s="54" t="s">
        <v>21</v>
      </c>
      <c r="AG21" s="54" t="s">
        <v>21</v>
      </c>
      <c r="AH21" s="55" t="s">
        <v>21</v>
      </c>
      <c r="AI21" s="55" t="s">
        <v>21</v>
      </c>
      <c r="AJ21" s="55" t="s">
        <v>21</v>
      </c>
      <c r="AK21" s="55" t="s">
        <v>21</v>
      </c>
    </row>
    <row r="22" ht="24" customHeight="1" spans="1:37">
      <c r="A22" s="13" t="s">
        <v>59</v>
      </c>
      <c r="B22" s="13" t="s">
        <v>48</v>
      </c>
      <c r="C22" s="56" t="s">
        <v>49</v>
      </c>
      <c r="D22" s="10" t="s">
        <v>60</v>
      </c>
      <c r="E22" s="11" t="s">
        <v>21</v>
      </c>
      <c r="F22" s="54" t="s">
        <v>25</v>
      </c>
      <c r="G22" s="54" t="s">
        <v>25</v>
      </c>
      <c r="H22" s="54">
        <v>2</v>
      </c>
      <c r="I22" s="54" t="s">
        <v>24</v>
      </c>
      <c r="J22" s="55" t="s">
        <v>25</v>
      </c>
      <c r="K22" s="55" t="s">
        <v>25</v>
      </c>
      <c r="L22" s="55">
        <v>3</v>
      </c>
      <c r="M22" s="55" t="s">
        <v>24</v>
      </c>
      <c r="N22" s="54" t="s">
        <v>25</v>
      </c>
      <c r="O22" s="54" t="s">
        <v>25</v>
      </c>
      <c r="P22" s="54">
        <v>2</v>
      </c>
      <c r="Q22" s="54" t="s">
        <v>24</v>
      </c>
      <c r="R22" s="55" t="s">
        <v>25</v>
      </c>
      <c r="S22" s="55" t="s">
        <v>25</v>
      </c>
      <c r="T22" s="55">
        <v>2</v>
      </c>
      <c r="U22" s="55" t="s">
        <v>24</v>
      </c>
      <c r="V22" s="54" t="s">
        <v>21</v>
      </c>
      <c r="W22" s="54" t="s">
        <v>21</v>
      </c>
      <c r="X22" s="54" t="s">
        <v>21</v>
      </c>
      <c r="Y22" s="54" t="s">
        <v>21</v>
      </c>
      <c r="Z22" s="55" t="s">
        <v>21</v>
      </c>
      <c r="AA22" s="55" t="s">
        <v>21</v>
      </c>
      <c r="AB22" s="55" t="s">
        <v>21</v>
      </c>
      <c r="AC22" s="55" t="s">
        <v>21</v>
      </c>
      <c r="AD22" s="54" t="s">
        <v>21</v>
      </c>
      <c r="AE22" s="54" t="s">
        <v>21</v>
      </c>
      <c r="AF22" s="54" t="s">
        <v>21</v>
      </c>
      <c r="AG22" s="54" t="s">
        <v>21</v>
      </c>
      <c r="AH22" s="55" t="s">
        <v>21</v>
      </c>
      <c r="AI22" s="55" t="s">
        <v>21</v>
      </c>
      <c r="AJ22" s="55" t="s">
        <v>21</v>
      </c>
      <c r="AK22" s="55" t="s">
        <v>21</v>
      </c>
    </row>
    <row r="23" ht="24" customHeight="1" spans="1:37">
      <c r="A23" s="13" t="s">
        <v>61</v>
      </c>
      <c r="B23" s="13" t="s">
        <v>48</v>
      </c>
      <c r="C23" s="56" t="s">
        <v>49</v>
      </c>
      <c r="D23" s="14" t="s">
        <v>62</v>
      </c>
      <c r="E23" s="15" t="s">
        <v>21</v>
      </c>
      <c r="F23" s="54" t="s">
        <v>22</v>
      </c>
      <c r="G23" s="54" t="s">
        <v>22</v>
      </c>
      <c r="H23" s="54" t="s">
        <v>23</v>
      </c>
      <c r="I23" s="54" t="s">
        <v>24</v>
      </c>
      <c r="J23" s="55" t="s">
        <v>22</v>
      </c>
      <c r="K23" s="55" t="s">
        <v>22</v>
      </c>
      <c r="L23" s="55" t="s">
        <v>23</v>
      </c>
      <c r="M23" s="55" t="s">
        <v>24</v>
      </c>
      <c r="N23" s="54" t="s">
        <v>22</v>
      </c>
      <c r="O23" s="54" t="s">
        <v>22</v>
      </c>
      <c r="P23" s="54" t="s">
        <v>23</v>
      </c>
      <c r="Q23" s="54" t="s">
        <v>24</v>
      </c>
      <c r="R23" s="55" t="s">
        <v>22</v>
      </c>
      <c r="S23" s="55" t="s">
        <v>22</v>
      </c>
      <c r="T23" s="55" t="s">
        <v>23</v>
      </c>
      <c r="U23" s="55" t="s">
        <v>24</v>
      </c>
      <c r="V23" s="54" t="s">
        <v>21</v>
      </c>
      <c r="W23" s="54" t="s">
        <v>21</v>
      </c>
      <c r="X23" s="54" t="s">
        <v>21</v>
      </c>
      <c r="Y23" s="54" t="s">
        <v>21</v>
      </c>
      <c r="Z23" s="55" t="s">
        <v>21</v>
      </c>
      <c r="AA23" s="55" t="s">
        <v>21</v>
      </c>
      <c r="AB23" s="55" t="s">
        <v>21</v>
      </c>
      <c r="AC23" s="55" t="s">
        <v>21</v>
      </c>
      <c r="AD23" s="54" t="s">
        <v>21</v>
      </c>
      <c r="AE23" s="54" t="s">
        <v>21</v>
      </c>
      <c r="AF23" s="54" t="s">
        <v>21</v>
      </c>
      <c r="AG23" s="54" t="s">
        <v>21</v>
      </c>
      <c r="AH23" s="55" t="s">
        <v>21</v>
      </c>
      <c r="AI23" s="55" t="s">
        <v>21</v>
      </c>
      <c r="AJ23" s="55" t="s">
        <v>21</v>
      </c>
      <c r="AK23" s="55" t="s">
        <v>21</v>
      </c>
    </row>
    <row r="24" ht="24" customHeight="1" spans="1:37">
      <c r="A24" s="17" t="s">
        <v>63</v>
      </c>
      <c r="B24" s="17" t="s">
        <v>64</v>
      </c>
      <c r="C24" s="57" t="s">
        <v>65</v>
      </c>
      <c r="D24" s="10" t="s">
        <v>66</v>
      </c>
      <c r="E24" s="11" t="s">
        <v>21</v>
      </c>
      <c r="F24" s="54" t="s">
        <v>25</v>
      </c>
      <c r="G24" s="54" t="s">
        <v>25</v>
      </c>
      <c r="H24" s="54">
        <v>1</v>
      </c>
      <c r="I24" s="54" t="s">
        <v>67</v>
      </c>
      <c r="J24" s="55" t="s">
        <v>25</v>
      </c>
      <c r="K24" s="55" t="s">
        <v>25</v>
      </c>
      <c r="L24" s="55">
        <v>1</v>
      </c>
      <c r="M24" s="55" t="s">
        <v>67</v>
      </c>
      <c r="N24" s="54" t="s">
        <v>25</v>
      </c>
      <c r="O24" s="54" t="s">
        <v>25</v>
      </c>
      <c r="P24" s="54">
        <v>1</v>
      </c>
      <c r="Q24" s="54" t="s">
        <v>24</v>
      </c>
      <c r="R24" s="55" t="s">
        <v>25</v>
      </c>
      <c r="S24" s="55" t="s">
        <v>25</v>
      </c>
      <c r="T24" s="55">
        <v>1</v>
      </c>
      <c r="U24" s="55" t="s">
        <v>26</v>
      </c>
      <c r="V24" s="54" t="s">
        <v>21</v>
      </c>
      <c r="W24" s="54" t="s">
        <v>21</v>
      </c>
      <c r="X24" s="54" t="s">
        <v>21</v>
      </c>
      <c r="Y24" s="54" t="s">
        <v>21</v>
      </c>
      <c r="Z24" s="55" t="s">
        <v>21</v>
      </c>
      <c r="AA24" s="55" t="s">
        <v>21</v>
      </c>
      <c r="AB24" s="55" t="s">
        <v>21</v>
      </c>
      <c r="AC24" s="55" t="s">
        <v>21</v>
      </c>
      <c r="AD24" s="54" t="s">
        <v>21</v>
      </c>
      <c r="AE24" s="54" t="s">
        <v>21</v>
      </c>
      <c r="AF24" s="54" t="s">
        <v>21</v>
      </c>
      <c r="AG24" s="54" t="s">
        <v>21</v>
      </c>
      <c r="AH24" s="55" t="s">
        <v>21</v>
      </c>
      <c r="AI24" s="55" t="s">
        <v>21</v>
      </c>
      <c r="AJ24" s="55" t="s">
        <v>21</v>
      </c>
      <c r="AK24" s="55" t="s">
        <v>21</v>
      </c>
    </row>
    <row r="25" ht="24" customHeight="1" spans="1:37">
      <c r="A25" s="17" t="s">
        <v>68</v>
      </c>
      <c r="B25" s="17" t="s">
        <v>64</v>
      </c>
      <c r="C25" s="57" t="s">
        <v>65</v>
      </c>
      <c r="D25" s="18" t="s">
        <v>69</v>
      </c>
      <c r="E25" s="19" t="s">
        <v>21</v>
      </c>
      <c r="F25" s="54" t="s">
        <v>25</v>
      </c>
      <c r="G25" s="54" t="s">
        <v>25</v>
      </c>
      <c r="H25" s="54">
        <v>2</v>
      </c>
      <c r="I25" s="54" t="s">
        <v>67</v>
      </c>
      <c r="J25" s="55" t="s">
        <v>25</v>
      </c>
      <c r="K25" s="55" t="s">
        <v>25</v>
      </c>
      <c r="L25" s="55">
        <v>2</v>
      </c>
      <c r="M25" s="55" t="s">
        <v>67</v>
      </c>
      <c r="N25" s="54" t="s">
        <v>25</v>
      </c>
      <c r="O25" s="54" t="s">
        <v>25</v>
      </c>
      <c r="P25" s="54">
        <v>2</v>
      </c>
      <c r="Q25" s="54" t="s">
        <v>24</v>
      </c>
      <c r="R25" s="55" t="s">
        <v>25</v>
      </c>
      <c r="S25" s="55" t="s">
        <v>25</v>
      </c>
      <c r="T25" s="55">
        <v>2</v>
      </c>
      <c r="U25" s="55" t="s">
        <v>26</v>
      </c>
      <c r="V25" s="54" t="s">
        <v>21</v>
      </c>
      <c r="W25" s="54" t="s">
        <v>21</v>
      </c>
      <c r="X25" s="54" t="s">
        <v>21</v>
      </c>
      <c r="Y25" s="54" t="s">
        <v>21</v>
      </c>
      <c r="Z25" s="55" t="s">
        <v>21</v>
      </c>
      <c r="AA25" s="55" t="s">
        <v>21</v>
      </c>
      <c r="AB25" s="55" t="s">
        <v>21</v>
      </c>
      <c r="AC25" s="55" t="s">
        <v>21</v>
      </c>
      <c r="AD25" s="54" t="s">
        <v>21</v>
      </c>
      <c r="AE25" s="54" t="s">
        <v>21</v>
      </c>
      <c r="AF25" s="54" t="s">
        <v>21</v>
      </c>
      <c r="AG25" s="54" t="s">
        <v>21</v>
      </c>
      <c r="AH25" s="55" t="s">
        <v>21</v>
      </c>
      <c r="AI25" s="55" t="s">
        <v>21</v>
      </c>
      <c r="AJ25" s="55" t="s">
        <v>21</v>
      </c>
      <c r="AK25" s="55" t="s">
        <v>21</v>
      </c>
    </row>
    <row r="26" ht="24" customHeight="1" spans="1:37">
      <c r="A26" s="17" t="s">
        <v>70</v>
      </c>
      <c r="B26" s="17" t="s">
        <v>64</v>
      </c>
      <c r="C26" s="57" t="s">
        <v>65</v>
      </c>
      <c r="D26" s="10" t="s">
        <v>71</v>
      </c>
      <c r="E26" s="11" t="s">
        <v>21</v>
      </c>
      <c r="F26" s="54" t="s">
        <v>25</v>
      </c>
      <c r="G26" s="54" t="s">
        <v>25</v>
      </c>
      <c r="H26" s="54">
        <v>2</v>
      </c>
      <c r="I26" s="54" t="s">
        <v>67</v>
      </c>
      <c r="J26" s="55" t="s">
        <v>25</v>
      </c>
      <c r="K26" s="55" t="s">
        <v>25</v>
      </c>
      <c r="L26" s="55">
        <v>2</v>
      </c>
      <c r="M26" s="55" t="s">
        <v>67</v>
      </c>
      <c r="N26" s="54" t="s">
        <v>25</v>
      </c>
      <c r="O26" s="54" t="s">
        <v>25</v>
      </c>
      <c r="P26" s="54">
        <v>2</v>
      </c>
      <c r="Q26" s="54" t="s">
        <v>24</v>
      </c>
      <c r="R26" s="55" t="s">
        <v>25</v>
      </c>
      <c r="S26" s="55" t="s">
        <v>25</v>
      </c>
      <c r="T26" s="55">
        <v>1</v>
      </c>
      <c r="U26" s="55" t="s">
        <v>24</v>
      </c>
      <c r="V26" s="54" t="s">
        <v>21</v>
      </c>
      <c r="W26" s="54" t="s">
        <v>21</v>
      </c>
      <c r="X26" s="54" t="s">
        <v>21</v>
      </c>
      <c r="Y26" s="54" t="s">
        <v>21</v>
      </c>
      <c r="Z26" s="55" t="s">
        <v>21</v>
      </c>
      <c r="AA26" s="55" t="s">
        <v>21</v>
      </c>
      <c r="AB26" s="55" t="s">
        <v>21</v>
      </c>
      <c r="AC26" s="55" t="s">
        <v>21</v>
      </c>
      <c r="AD26" s="54" t="s">
        <v>21</v>
      </c>
      <c r="AE26" s="54" t="s">
        <v>21</v>
      </c>
      <c r="AF26" s="54" t="s">
        <v>21</v>
      </c>
      <c r="AG26" s="54" t="s">
        <v>21</v>
      </c>
      <c r="AH26" s="55" t="s">
        <v>21</v>
      </c>
      <c r="AI26" s="55" t="s">
        <v>21</v>
      </c>
      <c r="AJ26" s="55" t="s">
        <v>21</v>
      </c>
      <c r="AK26" s="55" t="s">
        <v>21</v>
      </c>
    </row>
    <row r="27" ht="24" customHeight="1" spans="1:37">
      <c r="A27" s="17" t="s">
        <v>72</v>
      </c>
      <c r="B27" s="17" t="s">
        <v>64</v>
      </c>
      <c r="C27" s="57" t="s">
        <v>65</v>
      </c>
      <c r="D27" s="18" t="s">
        <v>73</v>
      </c>
      <c r="E27" s="19" t="s">
        <v>21</v>
      </c>
      <c r="F27" s="54" t="s">
        <v>25</v>
      </c>
      <c r="G27" s="54" t="s">
        <v>25</v>
      </c>
      <c r="H27" s="54">
        <v>3</v>
      </c>
      <c r="I27" s="54" t="s">
        <v>24</v>
      </c>
      <c r="J27" s="55" t="s">
        <v>25</v>
      </c>
      <c r="K27" s="55" t="s">
        <v>25</v>
      </c>
      <c r="L27" s="55">
        <v>2</v>
      </c>
      <c r="M27" s="55" t="s">
        <v>67</v>
      </c>
      <c r="N27" s="54" t="s">
        <v>25</v>
      </c>
      <c r="O27" s="54" t="s">
        <v>25</v>
      </c>
      <c r="P27" s="54">
        <v>2</v>
      </c>
      <c r="Q27" s="54" t="s">
        <v>24</v>
      </c>
      <c r="R27" s="55" t="s">
        <v>25</v>
      </c>
      <c r="S27" s="55" t="s">
        <v>25</v>
      </c>
      <c r="T27" s="55">
        <v>1</v>
      </c>
      <c r="U27" s="55" t="s">
        <v>24</v>
      </c>
      <c r="V27" s="54" t="s">
        <v>21</v>
      </c>
      <c r="W27" s="54" t="s">
        <v>21</v>
      </c>
      <c r="X27" s="54" t="s">
        <v>21</v>
      </c>
      <c r="Y27" s="54" t="s">
        <v>21</v>
      </c>
      <c r="Z27" s="55" t="s">
        <v>21</v>
      </c>
      <c r="AA27" s="55" t="s">
        <v>21</v>
      </c>
      <c r="AB27" s="55" t="s">
        <v>21</v>
      </c>
      <c r="AC27" s="55" t="s">
        <v>21</v>
      </c>
      <c r="AD27" s="54" t="s">
        <v>21</v>
      </c>
      <c r="AE27" s="54" t="s">
        <v>21</v>
      </c>
      <c r="AF27" s="54" t="s">
        <v>21</v>
      </c>
      <c r="AG27" s="54" t="s">
        <v>21</v>
      </c>
      <c r="AH27" s="55" t="s">
        <v>21</v>
      </c>
      <c r="AI27" s="55" t="s">
        <v>21</v>
      </c>
      <c r="AJ27" s="55" t="s">
        <v>21</v>
      </c>
      <c r="AK27" s="55" t="s">
        <v>21</v>
      </c>
    </row>
    <row r="28" ht="24" customHeight="1" spans="1:37">
      <c r="A28" s="17" t="s">
        <v>74</v>
      </c>
      <c r="B28" s="17" t="s">
        <v>64</v>
      </c>
      <c r="C28" s="57" t="s">
        <v>65</v>
      </c>
      <c r="D28" s="10" t="s">
        <v>75</v>
      </c>
      <c r="E28" s="11" t="s">
        <v>21</v>
      </c>
      <c r="F28" s="54" t="s">
        <v>25</v>
      </c>
      <c r="G28" s="54" t="s">
        <v>25</v>
      </c>
      <c r="H28" s="54">
        <v>1</v>
      </c>
      <c r="I28" s="54" t="s">
        <v>24</v>
      </c>
      <c r="J28" s="55" t="s">
        <v>25</v>
      </c>
      <c r="K28" s="55" t="s">
        <v>25</v>
      </c>
      <c r="L28" s="55">
        <v>1</v>
      </c>
      <c r="M28" s="55" t="s">
        <v>24</v>
      </c>
      <c r="N28" s="54" t="s">
        <v>25</v>
      </c>
      <c r="O28" s="54" t="s">
        <v>25</v>
      </c>
      <c r="P28" s="54">
        <v>1</v>
      </c>
      <c r="Q28" s="54" t="s">
        <v>24</v>
      </c>
      <c r="R28" s="55" t="s">
        <v>25</v>
      </c>
      <c r="S28" s="55" t="s">
        <v>25</v>
      </c>
      <c r="T28" s="55">
        <v>2</v>
      </c>
      <c r="U28" s="55" t="s">
        <v>24</v>
      </c>
      <c r="V28" s="54" t="s">
        <v>21</v>
      </c>
      <c r="W28" s="54" t="s">
        <v>21</v>
      </c>
      <c r="X28" s="54" t="s">
        <v>21</v>
      </c>
      <c r="Y28" s="54" t="s">
        <v>21</v>
      </c>
      <c r="Z28" s="55" t="s">
        <v>21</v>
      </c>
      <c r="AA28" s="55" t="s">
        <v>21</v>
      </c>
      <c r="AB28" s="55" t="s">
        <v>21</v>
      </c>
      <c r="AC28" s="55" t="s">
        <v>21</v>
      </c>
      <c r="AD28" s="54" t="s">
        <v>21</v>
      </c>
      <c r="AE28" s="54" t="s">
        <v>21</v>
      </c>
      <c r="AF28" s="54" t="s">
        <v>21</v>
      </c>
      <c r="AG28" s="54" t="s">
        <v>21</v>
      </c>
      <c r="AH28" s="55" t="s">
        <v>21</v>
      </c>
      <c r="AI28" s="55" t="s">
        <v>21</v>
      </c>
      <c r="AJ28" s="55" t="s">
        <v>21</v>
      </c>
      <c r="AK28" s="55" t="s">
        <v>21</v>
      </c>
    </row>
    <row r="29" ht="24" customHeight="1" spans="1:37">
      <c r="A29" s="17" t="s">
        <v>76</v>
      </c>
      <c r="B29" s="17" t="s">
        <v>64</v>
      </c>
      <c r="C29" s="57" t="s">
        <v>65</v>
      </c>
      <c r="D29" s="18" t="s">
        <v>77</v>
      </c>
      <c r="E29" s="19" t="s">
        <v>21</v>
      </c>
      <c r="F29" s="54" t="s">
        <v>25</v>
      </c>
      <c r="G29" s="54" t="s">
        <v>25</v>
      </c>
      <c r="H29" s="54">
        <v>2</v>
      </c>
      <c r="I29" s="54" t="s">
        <v>24</v>
      </c>
      <c r="J29" s="55" t="s">
        <v>25</v>
      </c>
      <c r="K29" s="55" t="s">
        <v>25</v>
      </c>
      <c r="L29" s="55">
        <v>1</v>
      </c>
      <c r="M29" s="55" t="s">
        <v>24</v>
      </c>
      <c r="N29" s="54" t="s">
        <v>25</v>
      </c>
      <c r="O29" s="54" t="s">
        <v>25</v>
      </c>
      <c r="P29" s="54">
        <v>2</v>
      </c>
      <c r="Q29" s="54" t="s">
        <v>24</v>
      </c>
      <c r="R29" s="55" t="s">
        <v>25</v>
      </c>
      <c r="S29" s="55" t="s">
        <v>25</v>
      </c>
      <c r="T29" s="55">
        <v>1</v>
      </c>
      <c r="U29" s="55" t="s">
        <v>24</v>
      </c>
      <c r="V29" s="54" t="s">
        <v>21</v>
      </c>
      <c r="W29" s="54" t="s">
        <v>21</v>
      </c>
      <c r="X29" s="54" t="s">
        <v>21</v>
      </c>
      <c r="Y29" s="54" t="s">
        <v>21</v>
      </c>
      <c r="Z29" s="55" t="s">
        <v>21</v>
      </c>
      <c r="AA29" s="55" t="s">
        <v>21</v>
      </c>
      <c r="AB29" s="55" t="s">
        <v>21</v>
      </c>
      <c r="AC29" s="55" t="s">
        <v>21</v>
      </c>
      <c r="AD29" s="54" t="s">
        <v>21</v>
      </c>
      <c r="AE29" s="54" t="s">
        <v>21</v>
      </c>
      <c r="AF29" s="54" t="s">
        <v>21</v>
      </c>
      <c r="AG29" s="54" t="s">
        <v>21</v>
      </c>
      <c r="AH29" s="55" t="s">
        <v>21</v>
      </c>
      <c r="AI29" s="55" t="s">
        <v>21</v>
      </c>
      <c r="AJ29" s="55" t="s">
        <v>21</v>
      </c>
      <c r="AK29" s="55" t="s">
        <v>21</v>
      </c>
    </row>
    <row r="30" ht="24" customHeight="1" spans="1:37">
      <c r="A30" s="17" t="s">
        <v>78</v>
      </c>
      <c r="B30" s="17" t="s">
        <v>64</v>
      </c>
      <c r="C30" s="57" t="s">
        <v>65</v>
      </c>
      <c r="D30" s="10" t="s">
        <v>79</v>
      </c>
      <c r="E30" s="11" t="s">
        <v>21</v>
      </c>
      <c r="F30" s="54" t="s">
        <v>25</v>
      </c>
      <c r="G30" s="54" t="s">
        <v>25</v>
      </c>
      <c r="H30" s="54">
        <v>2</v>
      </c>
      <c r="I30" s="54" t="s">
        <v>24</v>
      </c>
      <c r="J30" s="55" t="s">
        <v>25</v>
      </c>
      <c r="K30" s="55" t="s">
        <v>25</v>
      </c>
      <c r="L30" s="55">
        <v>3</v>
      </c>
      <c r="M30" s="55" t="s">
        <v>24</v>
      </c>
      <c r="N30" s="54" t="s">
        <v>25</v>
      </c>
      <c r="O30" s="54" t="s">
        <v>25</v>
      </c>
      <c r="P30" s="54">
        <v>1</v>
      </c>
      <c r="Q30" s="54" t="s">
        <v>24</v>
      </c>
      <c r="R30" s="55" t="s">
        <v>25</v>
      </c>
      <c r="S30" s="55" t="s">
        <v>25</v>
      </c>
      <c r="T30" s="55">
        <v>2</v>
      </c>
      <c r="U30" s="55" t="s">
        <v>24</v>
      </c>
      <c r="V30" s="54" t="s">
        <v>21</v>
      </c>
      <c r="W30" s="54" t="s">
        <v>21</v>
      </c>
      <c r="X30" s="54" t="s">
        <v>21</v>
      </c>
      <c r="Y30" s="54" t="s">
        <v>21</v>
      </c>
      <c r="Z30" s="55" t="s">
        <v>21</v>
      </c>
      <c r="AA30" s="55" t="s">
        <v>21</v>
      </c>
      <c r="AB30" s="55" t="s">
        <v>21</v>
      </c>
      <c r="AC30" s="55" t="s">
        <v>21</v>
      </c>
      <c r="AD30" s="54" t="s">
        <v>21</v>
      </c>
      <c r="AE30" s="54" t="s">
        <v>21</v>
      </c>
      <c r="AF30" s="54" t="s">
        <v>21</v>
      </c>
      <c r="AG30" s="54" t="s">
        <v>21</v>
      </c>
      <c r="AH30" s="55" t="s">
        <v>21</v>
      </c>
      <c r="AI30" s="55" t="s">
        <v>21</v>
      </c>
      <c r="AJ30" s="55" t="s">
        <v>21</v>
      </c>
      <c r="AK30" s="55" t="s">
        <v>21</v>
      </c>
    </row>
    <row r="31" ht="24" customHeight="1" spans="1:37">
      <c r="A31" s="17" t="s">
        <v>80</v>
      </c>
      <c r="B31" s="17" t="s">
        <v>64</v>
      </c>
      <c r="C31" s="57" t="s">
        <v>65</v>
      </c>
      <c r="D31" s="18" t="s">
        <v>81</v>
      </c>
      <c r="E31" s="19" t="s">
        <v>21</v>
      </c>
      <c r="F31" s="54" t="s">
        <v>25</v>
      </c>
      <c r="G31" s="54" t="s">
        <v>25</v>
      </c>
      <c r="H31" s="54">
        <v>2</v>
      </c>
      <c r="I31" s="54" t="s">
        <v>24</v>
      </c>
      <c r="J31" s="55" t="s">
        <v>25</v>
      </c>
      <c r="K31" s="55" t="s">
        <v>25</v>
      </c>
      <c r="L31" s="55">
        <v>4</v>
      </c>
      <c r="M31" s="55" t="s">
        <v>67</v>
      </c>
      <c r="N31" s="54" t="s">
        <v>25</v>
      </c>
      <c r="O31" s="54" t="s">
        <v>25</v>
      </c>
      <c r="P31" s="54">
        <v>1</v>
      </c>
      <c r="Q31" s="54" t="s">
        <v>24</v>
      </c>
      <c r="R31" s="55" t="s">
        <v>25</v>
      </c>
      <c r="S31" s="55" t="s">
        <v>25</v>
      </c>
      <c r="T31" s="55">
        <v>3</v>
      </c>
      <c r="U31" s="55" t="s">
        <v>24</v>
      </c>
      <c r="V31" s="54" t="s">
        <v>21</v>
      </c>
      <c r="W31" s="54" t="s">
        <v>21</v>
      </c>
      <c r="X31" s="54" t="s">
        <v>21</v>
      </c>
      <c r="Y31" s="54" t="s">
        <v>21</v>
      </c>
      <c r="Z31" s="55" t="s">
        <v>21</v>
      </c>
      <c r="AA31" s="55" t="s">
        <v>21</v>
      </c>
      <c r="AB31" s="55" t="s">
        <v>21</v>
      </c>
      <c r="AC31" s="55" t="s">
        <v>21</v>
      </c>
      <c r="AD31" s="54" t="s">
        <v>21</v>
      </c>
      <c r="AE31" s="54" t="s">
        <v>21</v>
      </c>
      <c r="AF31" s="54" t="s">
        <v>21</v>
      </c>
      <c r="AG31" s="54" t="s">
        <v>21</v>
      </c>
      <c r="AH31" s="55" t="s">
        <v>21</v>
      </c>
      <c r="AI31" s="55" t="s">
        <v>21</v>
      </c>
      <c r="AJ31" s="55" t="s">
        <v>21</v>
      </c>
      <c r="AK31" s="55" t="s">
        <v>21</v>
      </c>
    </row>
    <row r="32" ht="24" customHeight="1" spans="1:37">
      <c r="A32" s="17" t="s">
        <v>82</v>
      </c>
      <c r="B32" s="17" t="s">
        <v>64</v>
      </c>
      <c r="C32" s="57" t="s">
        <v>65</v>
      </c>
      <c r="D32" s="10" t="s">
        <v>83</v>
      </c>
      <c r="E32" s="11" t="s">
        <v>21</v>
      </c>
      <c r="F32" s="54" t="s">
        <v>25</v>
      </c>
      <c r="G32" s="54" t="s">
        <v>25</v>
      </c>
      <c r="H32" s="54">
        <v>3</v>
      </c>
      <c r="I32" s="54" t="s">
        <v>24</v>
      </c>
      <c r="J32" s="55" t="s">
        <v>25</v>
      </c>
      <c r="K32" s="55" t="s">
        <v>25</v>
      </c>
      <c r="L32" s="55">
        <v>3</v>
      </c>
      <c r="M32" s="55" t="s">
        <v>24</v>
      </c>
      <c r="N32" s="54" t="s">
        <v>25</v>
      </c>
      <c r="O32" s="54" t="s">
        <v>25</v>
      </c>
      <c r="P32" s="54">
        <v>3</v>
      </c>
      <c r="Q32" s="54" t="s">
        <v>24</v>
      </c>
      <c r="R32" s="55" t="s">
        <v>25</v>
      </c>
      <c r="S32" s="55" t="s">
        <v>25</v>
      </c>
      <c r="T32" s="55">
        <v>3</v>
      </c>
      <c r="U32" s="55" t="s">
        <v>24</v>
      </c>
      <c r="V32" s="54" t="s">
        <v>21</v>
      </c>
      <c r="W32" s="54" t="s">
        <v>21</v>
      </c>
      <c r="X32" s="54" t="s">
        <v>21</v>
      </c>
      <c r="Y32" s="54" t="s">
        <v>21</v>
      </c>
      <c r="Z32" s="55" t="s">
        <v>21</v>
      </c>
      <c r="AA32" s="55" t="s">
        <v>21</v>
      </c>
      <c r="AB32" s="55" t="s">
        <v>21</v>
      </c>
      <c r="AC32" s="55" t="s">
        <v>21</v>
      </c>
      <c r="AD32" s="54" t="s">
        <v>21</v>
      </c>
      <c r="AE32" s="54" t="s">
        <v>21</v>
      </c>
      <c r="AF32" s="54" t="s">
        <v>21</v>
      </c>
      <c r="AG32" s="54" t="s">
        <v>21</v>
      </c>
      <c r="AH32" s="55" t="s">
        <v>21</v>
      </c>
      <c r="AI32" s="55" t="s">
        <v>21</v>
      </c>
      <c r="AJ32" s="55" t="s">
        <v>21</v>
      </c>
      <c r="AK32" s="55" t="s">
        <v>21</v>
      </c>
    </row>
    <row r="33" ht="24" customHeight="1" spans="1:37">
      <c r="A33" s="17" t="s">
        <v>84</v>
      </c>
      <c r="B33" s="17" t="s">
        <v>64</v>
      </c>
      <c r="C33" s="57" t="s">
        <v>65</v>
      </c>
      <c r="D33" s="18" t="s">
        <v>85</v>
      </c>
      <c r="E33" s="19" t="s">
        <v>21</v>
      </c>
      <c r="F33" s="54" t="s">
        <v>25</v>
      </c>
      <c r="G33" s="54" t="s">
        <v>25</v>
      </c>
      <c r="H33" s="54">
        <v>2</v>
      </c>
      <c r="I33" s="54" t="s">
        <v>24</v>
      </c>
      <c r="J33" s="55" t="s">
        <v>25</v>
      </c>
      <c r="K33" s="55" t="s">
        <v>25</v>
      </c>
      <c r="L33" s="55">
        <v>3</v>
      </c>
      <c r="M33" s="55" t="s">
        <v>24</v>
      </c>
      <c r="N33" s="54" t="s">
        <v>25</v>
      </c>
      <c r="O33" s="54" t="s">
        <v>25</v>
      </c>
      <c r="P33" s="54">
        <v>2</v>
      </c>
      <c r="Q33" s="54" t="s">
        <v>24</v>
      </c>
      <c r="R33" s="55" t="s">
        <v>25</v>
      </c>
      <c r="S33" s="55" t="s">
        <v>25</v>
      </c>
      <c r="T33" s="55">
        <v>3</v>
      </c>
      <c r="U33" s="55" t="s">
        <v>24</v>
      </c>
      <c r="V33" s="54" t="s">
        <v>21</v>
      </c>
      <c r="W33" s="54" t="s">
        <v>21</v>
      </c>
      <c r="X33" s="54" t="s">
        <v>21</v>
      </c>
      <c r="Y33" s="54" t="s">
        <v>21</v>
      </c>
      <c r="Z33" s="55" t="s">
        <v>21</v>
      </c>
      <c r="AA33" s="55" t="s">
        <v>21</v>
      </c>
      <c r="AB33" s="55" t="s">
        <v>21</v>
      </c>
      <c r="AC33" s="55" t="s">
        <v>21</v>
      </c>
      <c r="AD33" s="54" t="s">
        <v>21</v>
      </c>
      <c r="AE33" s="54" t="s">
        <v>21</v>
      </c>
      <c r="AF33" s="54" t="s">
        <v>21</v>
      </c>
      <c r="AG33" s="54" t="s">
        <v>21</v>
      </c>
      <c r="AH33" s="55" t="s">
        <v>21</v>
      </c>
      <c r="AI33" s="55" t="s">
        <v>21</v>
      </c>
      <c r="AJ33" s="55" t="s">
        <v>21</v>
      </c>
      <c r="AK33" s="55" t="s">
        <v>21</v>
      </c>
    </row>
    <row r="34" ht="24" customHeight="1" spans="1:37">
      <c r="A34" s="17" t="s">
        <v>86</v>
      </c>
      <c r="B34" s="17" t="s">
        <v>64</v>
      </c>
      <c r="C34" s="57" t="s">
        <v>65</v>
      </c>
      <c r="D34" s="10" t="s">
        <v>87</v>
      </c>
      <c r="E34" s="11" t="s">
        <v>21</v>
      </c>
      <c r="F34" s="54" t="s">
        <v>25</v>
      </c>
      <c r="G34" s="54" t="s">
        <v>25</v>
      </c>
      <c r="H34" s="54">
        <v>2</v>
      </c>
      <c r="I34" s="54" t="s">
        <v>67</v>
      </c>
      <c r="J34" s="55" t="s">
        <v>25</v>
      </c>
      <c r="K34" s="55" t="s">
        <v>25</v>
      </c>
      <c r="L34" s="55">
        <v>2</v>
      </c>
      <c r="M34" s="55" t="s">
        <v>67</v>
      </c>
      <c r="N34" s="54" t="s">
        <v>25</v>
      </c>
      <c r="O34" s="54" t="s">
        <v>25</v>
      </c>
      <c r="P34" s="54">
        <v>3</v>
      </c>
      <c r="Q34" s="54" t="s">
        <v>24</v>
      </c>
      <c r="R34" s="55" t="s">
        <v>25</v>
      </c>
      <c r="S34" s="55" t="s">
        <v>25</v>
      </c>
      <c r="T34" s="55">
        <v>2</v>
      </c>
      <c r="U34" s="55" t="s">
        <v>24</v>
      </c>
      <c r="V34" s="54" t="s">
        <v>21</v>
      </c>
      <c r="W34" s="54" t="s">
        <v>21</v>
      </c>
      <c r="X34" s="54" t="s">
        <v>21</v>
      </c>
      <c r="Y34" s="54" t="s">
        <v>21</v>
      </c>
      <c r="Z34" s="55" t="s">
        <v>21</v>
      </c>
      <c r="AA34" s="55" t="s">
        <v>21</v>
      </c>
      <c r="AB34" s="55" t="s">
        <v>21</v>
      </c>
      <c r="AC34" s="55" t="s">
        <v>21</v>
      </c>
      <c r="AD34" s="54" t="s">
        <v>21</v>
      </c>
      <c r="AE34" s="54" t="s">
        <v>21</v>
      </c>
      <c r="AF34" s="54" t="s">
        <v>21</v>
      </c>
      <c r="AG34" s="54" t="s">
        <v>21</v>
      </c>
      <c r="AH34" s="55" t="s">
        <v>21</v>
      </c>
      <c r="AI34" s="55" t="s">
        <v>21</v>
      </c>
      <c r="AJ34" s="55" t="s">
        <v>21</v>
      </c>
      <c r="AK34" s="55" t="s">
        <v>21</v>
      </c>
    </row>
    <row r="35" ht="24" customHeight="1" spans="1:37">
      <c r="A35" s="17" t="s">
        <v>88</v>
      </c>
      <c r="B35" s="17" t="s">
        <v>64</v>
      </c>
      <c r="C35" s="57" t="s">
        <v>65</v>
      </c>
      <c r="D35" s="18" t="s">
        <v>89</v>
      </c>
      <c r="E35" s="19" t="s">
        <v>21</v>
      </c>
      <c r="F35" s="54" t="s">
        <v>25</v>
      </c>
      <c r="G35" s="54" t="s">
        <v>25</v>
      </c>
      <c r="H35" s="54">
        <v>3</v>
      </c>
      <c r="I35" s="54" t="s">
        <v>24</v>
      </c>
      <c r="J35" s="55" t="s">
        <v>25</v>
      </c>
      <c r="K35" s="55" t="s">
        <v>25</v>
      </c>
      <c r="L35" s="55">
        <v>2</v>
      </c>
      <c r="M35" s="55" t="s">
        <v>21</v>
      </c>
      <c r="N35" s="54" t="s">
        <v>25</v>
      </c>
      <c r="O35" s="54" t="s">
        <v>25</v>
      </c>
      <c r="P35" s="54">
        <v>3</v>
      </c>
      <c r="Q35" s="54" t="s">
        <v>24</v>
      </c>
      <c r="R35" s="55" t="s">
        <v>25</v>
      </c>
      <c r="S35" s="55" t="s">
        <v>25</v>
      </c>
      <c r="T35" s="55">
        <v>2</v>
      </c>
      <c r="U35" s="55" t="s">
        <v>24</v>
      </c>
      <c r="V35" s="54" t="s">
        <v>21</v>
      </c>
      <c r="W35" s="54" t="s">
        <v>21</v>
      </c>
      <c r="X35" s="54" t="s">
        <v>21</v>
      </c>
      <c r="Y35" s="54" t="s">
        <v>21</v>
      </c>
      <c r="Z35" s="55" t="s">
        <v>21</v>
      </c>
      <c r="AA35" s="55" t="s">
        <v>21</v>
      </c>
      <c r="AB35" s="55" t="s">
        <v>21</v>
      </c>
      <c r="AC35" s="55" t="s">
        <v>21</v>
      </c>
      <c r="AD35" s="54" t="s">
        <v>21</v>
      </c>
      <c r="AE35" s="54" t="s">
        <v>21</v>
      </c>
      <c r="AF35" s="54" t="s">
        <v>21</v>
      </c>
      <c r="AG35" s="54" t="s">
        <v>21</v>
      </c>
      <c r="AH35" s="55" t="s">
        <v>21</v>
      </c>
      <c r="AI35" s="55" t="s">
        <v>21</v>
      </c>
      <c r="AJ35" s="55" t="s">
        <v>21</v>
      </c>
      <c r="AK35" s="55" t="s">
        <v>21</v>
      </c>
    </row>
  </sheetData>
  <mergeCells count="14">
    <mergeCell ref="A1:AK1"/>
    <mergeCell ref="A2:AK2"/>
    <mergeCell ref="F3:M3"/>
    <mergeCell ref="N3:U3"/>
    <mergeCell ref="V3:AC3"/>
    <mergeCell ref="AD3:AK3"/>
    <mergeCell ref="F4:I4"/>
    <mergeCell ref="J4:M4"/>
    <mergeCell ref="N4:Q4"/>
    <mergeCell ref="R4:U4"/>
    <mergeCell ref="V4:Y4"/>
    <mergeCell ref="Z4:AC4"/>
    <mergeCell ref="AD4:AG4"/>
    <mergeCell ref="AH4:AK4"/>
  </mergeCells>
  <conditionalFormatting sqref="F6:F35">
    <cfRule type="cellIs" dxfId="0" priority="1" operator="equal">
      <formula>"Y"</formula>
    </cfRule>
    <cfRule type="cellIs" dxfId="1" priority="2" operator="equal">
      <formula>"N"</formula>
    </cfRule>
    <cfRule type="cellIs" dxfId="2" priority="3" operator="equal">
      <formula>"P"</formula>
    </cfRule>
  </conditionalFormatting>
  <conditionalFormatting sqref="I6:I35">
    <cfRule type="cellIs" dxfId="0" priority="4" operator="equal">
      <formula>"+"</formula>
    </cfRule>
    <cfRule type="cellIs" dxfId="1" priority="5" operator="equal">
      <formula>"−"</formula>
    </cfRule>
    <cfRule type="cellIs" dxfId="3" priority="6" operator="equal">
      <formula>"="</formula>
    </cfRule>
  </conditionalFormatting>
  <conditionalFormatting sqref="J6:J35">
    <cfRule type="cellIs" dxfId="0" priority="7" operator="equal">
      <formula>"Y"</formula>
    </cfRule>
    <cfRule type="cellIs" dxfId="1" priority="8" operator="equal">
      <formula>"N"</formula>
    </cfRule>
    <cfRule type="cellIs" dxfId="2" priority="9" operator="equal">
      <formula>"P"</formula>
    </cfRule>
  </conditionalFormatting>
  <conditionalFormatting sqref="M6:M35">
    <cfRule type="cellIs" dxfId="0" priority="10" operator="equal">
      <formula>"+"</formula>
    </cfRule>
    <cfRule type="cellIs" dxfId="1" priority="11" operator="equal">
      <formula>"−"</formula>
    </cfRule>
    <cfRule type="cellIs" dxfId="3" priority="12" operator="equal">
      <formula>"="</formula>
    </cfRule>
  </conditionalFormatting>
  <conditionalFormatting sqref="N6:N35">
    <cfRule type="cellIs" dxfId="0" priority="13" operator="equal">
      <formula>"Y"</formula>
    </cfRule>
    <cfRule type="cellIs" dxfId="1" priority="14" operator="equal">
      <formula>"N"</formula>
    </cfRule>
    <cfRule type="cellIs" dxfId="2" priority="15" operator="equal">
      <formula>"P"</formula>
    </cfRule>
  </conditionalFormatting>
  <conditionalFormatting sqref="Q6:Q35">
    <cfRule type="cellIs" dxfId="0" priority="16" operator="equal">
      <formula>"+"</formula>
    </cfRule>
    <cfRule type="cellIs" dxfId="1" priority="17" operator="equal">
      <formula>"−"</formula>
    </cfRule>
    <cfRule type="cellIs" dxfId="3" priority="18" operator="equal">
      <formula>"="</formula>
    </cfRule>
  </conditionalFormatting>
  <conditionalFormatting sqref="R6:R35">
    <cfRule type="cellIs" dxfId="0" priority="19" operator="equal">
      <formula>"Y"</formula>
    </cfRule>
    <cfRule type="cellIs" dxfId="1" priority="20" operator="equal">
      <formula>"N"</formula>
    </cfRule>
    <cfRule type="cellIs" dxfId="2" priority="21" operator="equal">
      <formula>"P"</formula>
    </cfRule>
  </conditionalFormatting>
  <conditionalFormatting sqref="U6:U35">
    <cfRule type="cellIs" dxfId="0" priority="22" operator="equal">
      <formula>"+"</formula>
    </cfRule>
    <cfRule type="cellIs" dxfId="1" priority="23" operator="equal">
      <formula>"−"</formula>
    </cfRule>
    <cfRule type="cellIs" dxfId="3" priority="24" operator="equal">
      <formula>"="</formula>
    </cfRule>
  </conditionalFormatting>
  <conditionalFormatting sqref="V6:V35">
    <cfRule type="cellIs" dxfId="0" priority="25" operator="equal">
      <formula>"Y"</formula>
    </cfRule>
    <cfRule type="cellIs" dxfId="1" priority="26" operator="equal">
      <formula>"N"</formula>
    </cfRule>
    <cfRule type="cellIs" dxfId="2" priority="27" operator="equal">
      <formula>"P"</formula>
    </cfRule>
  </conditionalFormatting>
  <conditionalFormatting sqref="Y6:Y35">
    <cfRule type="cellIs" dxfId="0" priority="28" operator="equal">
      <formula>"+"</formula>
    </cfRule>
    <cfRule type="cellIs" dxfId="1" priority="29" operator="equal">
      <formula>"−"</formula>
    </cfRule>
    <cfRule type="cellIs" dxfId="3" priority="30" operator="equal">
      <formula>"="</formula>
    </cfRule>
  </conditionalFormatting>
  <conditionalFormatting sqref="Z6:Z35">
    <cfRule type="cellIs" dxfId="0" priority="31" operator="equal">
      <formula>"Y"</formula>
    </cfRule>
    <cfRule type="cellIs" dxfId="1" priority="32" operator="equal">
      <formula>"N"</formula>
    </cfRule>
    <cfRule type="cellIs" dxfId="2" priority="33" operator="equal">
      <formula>"P"</formula>
    </cfRule>
  </conditionalFormatting>
  <conditionalFormatting sqref="AC6:AC35">
    <cfRule type="cellIs" dxfId="0" priority="34" operator="equal">
      <formula>"+"</formula>
    </cfRule>
    <cfRule type="cellIs" dxfId="1" priority="35" operator="equal">
      <formula>"−"</formula>
    </cfRule>
    <cfRule type="cellIs" dxfId="3" priority="36" operator="equal">
      <formula>"="</formula>
    </cfRule>
  </conditionalFormatting>
  <conditionalFormatting sqref="AD6:AD35">
    <cfRule type="cellIs" dxfId="0" priority="37" operator="equal">
      <formula>"Y"</formula>
    </cfRule>
    <cfRule type="cellIs" dxfId="1" priority="38" operator="equal">
      <formula>"N"</formula>
    </cfRule>
    <cfRule type="cellIs" dxfId="2" priority="39" operator="equal">
      <formula>"P"</formula>
    </cfRule>
  </conditionalFormatting>
  <conditionalFormatting sqref="AG6:AG35">
    <cfRule type="cellIs" dxfId="0" priority="40" operator="equal">
      <formula>"+"</formula>
    </cfRule>
    <cfRule type="cellIs" dxfId="1" priority="41" operator="equal">
      <formula>"−"</formula>
    </cfRule>
    <cfRule type="cellIs" dxfId="3" priority="42" operator="equal">
      <formula>"="</formula>
    </cfRule>
  </conditionalFormatting>
  <conditionalFormatting sqref="AH6:AH35">
    <cfRule type="cellIs" dxfId="0" priority="43" operator="equal">
      <formula>"Y"</formula>
    </cfRule>
    <cfRule type="cellIs" dxfId="1" priority="44" operator="equal">
      <formula>"N"</formula>
    </cfRule>
    <cfRule type="cellIs" dxfId="2" priority="45" operator="equal">
      <formula>"P"</formula>
    </cfRule>
  </conditionalFormatting>
  <conditionalFormatting sqref="AK6:AK35">
    <cfRule type="cellIs" dxfId="0" priority="46" operator="equal">
      <formula>"+"</formula>
    </cfRule>
    <cfRule type="cellIs" dxfId="1" priority="47" operator="equal">
      <formula>"−"</formula>
    </cfRule>
    <cfRule type="cellIs" dxfId="3" priority="48" operator="equal">
      <formula>"="</formula>
    </cfRule>
  </conditionalFormatting>
  <dataValidations count="4">
    <dataValidation type="list" allowBlank="1" sqref="F15 J15 N15 R15 V15 Z15 AD15 AH15 F6:F14 F16:F32 F33:F35 J6:J14 J16:J32 J33:J35 N6:N14 N16:N32 N33:N35 R6:R14 R16:R32 R33:R35 V6:V14 V16:V32 V33:V35 Z6:Z14 Z16:Z32 Z33:Z35 AD6:AD14 AD16:AD32 AD33:AD35 AH6:AH14 AH16:AH32 AH33:AH35">
      <formula1>"Y,N,P"</formula1>
    </dataValidation>
    <dataValidation type="list" allowBlank="1" sqref="G15 K15 O15 S15 W15 AA15 AE15 AI15 G6:G14 G16:G32 G33:G35 K6:K14 K16:K32 K33:K35 O6:O14 O16:O32 O33:O35 S6:S14 S16:S32 S33:S35 W6:W14 W16:W32 W33:W35 AA6:AA14 AA16:AA32 AA33:AA35 AE6:AE14 AE16:AE32 AE33:AE35 AI6:AI14 AI16:AI32 AI33:AI35">
      <formula1>"Y,N"</formula1>
    </dataValidation>
    <dataValidation type="list" allowBlank="1" sqref="H15 L15 P15 T15 X15 AB15 AF15 AJ15 H6:H14 H16:H32 H33:H35 L6:L14 L16:L32 L33:L35 P6:P14 P16:P32 P33:P35 T6:T14 T16:T32 T33:T35 X6:X14 X16:X32 X33:X35 AB6:AB14 AB16:AB32 AB33:AB35 AF6:AF14 AF16:AF32 AF33:AF35 AJ6:AJ14 AJ16:AJ32 AJ33:AJ35">
      <formula1>"1,2,3,4,5,N/A"</formula1>
    </dataValidation>
    <dataValidation type="list" allowBlank="1" sqref="I15 M15 Q15 U15 Y15 AC15 AG15 AK15 I6:I14 I16:I32 I33:I35 M6:M14 M16:M32 M33:M35 Q6:Q14 Q16:Q32 Q33:Q35 U6:U14 U16:U32 U33:U35 Y6:Y14 Y16:Y32 Y33:Y35 AC6:AC14 AC16:AC32 AC33:AC35 AG6:AG14 AG16:AG32 AG33:AG35 AK6:AK14 AK16:AK32 AK33:AK35">
      <formula1>"+,=,−"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45A32"/>
  </sheetPr>
  <dimension ref="A1:Q25"/>
  <sheetViews>
    <sheetView showGridLines="0" tabSelected="1" zoomScale="78" zoomScaleNormal="78" workbookViewId="0">
      <selection activeCell="D7" sqref="D7"/>
    </sheetView>
  </sheetViews>
  <sheetFormatPr defaultColWidth="9" defaultRowHeight="16.8"/>
  <cols>
    <col min="1" max="1" width="28" customWidth="1"/>
    <col min="2" max="2" width="30" customWidth="1"/>
    <col min="3" max="4" width="11" customWidth="1"/>
    <col min="5" max="5" width="10" customWidth="1"/>
    <col min="6" max="7" width="11" customWidth="1"/>
    <col min="8" max="8" width="10" customWidth="1"/>
    <col min="9" max="10" width="11" hidden="1" customWidth="1"/>
    <col min="11" max="11" width="10" hidden="1" customWidth="1"/>
    <col min="12" max="13" width="11" hidden="1" customWidth="1"/>
    <col min="14" max="14" width="10" hidden="1" customWidth="1"/>
    <col min="15" max="16" width="12" customWidth="1"/>
    <col min="17" max="17" width="14" customWidth="1"/>
  </cols>
  <sheetData>
    <row r="1" ht="30" customHeight="1" spans="1:17">
      <c r="A1" s="24" t="s">
        <v>90</v>
      </c>
    </row>
    <row r="2" ht="16" customHeight="1" spans="1:17">
      <c r="A2" s="2" t="s">
        <v>91</v>
      </c>
    </row>
    <row r="4" ht="22" customHeight="1" spans="1:17">
      <c r="A4" s="25" t="s">
        <v>92</v>
      </c>
    </row>
    <row r="5" ht="36" customHeight="1" spans="1:17">
      <c r="A5" s="26" t="s">
        <v>93</v>
      </c>
      <c r="B5" s="26" t="s">
        <v>94</v>
      </c>
      <c r="C5" s="26" t="s">
        <v>95</v>
      </c>
      <c r="D5" s="26" t="s">
        <v>96</v>
      </c>
      <c r="E5" s="26" t="s">
        <v>97</v>
      </c>
      <c r="F5" s="26" t="s">
        <v>98</v>
      </c>
      <c r="G5" s="26" t="s">
        <v>99</v>
      </c>
      <c r="H5" s="26" t="s">
        <v>97</v>
      </c>
      <c r="I5" s="26" t="s">
        <v>100</v>
      </c>
      <c r="J5" s="26" t="s">
        <v>101</v>
      </c>
      <c r="K5" s="26" t="s">
        <v>97</v>
      </c>
      <c r="L5" s="26" t="s">
        <v>102</v>
      </c>
      <c r="M5" s="26" t="s">
        <v>103</v>
      </c>
      <c r="N5" s="26" t="s">
        <v>97</v>
      </c>
      <c r="O5" s="26" t="s">
        <v>104</v>
      </c>
      <c r="P5" s="26" t="s">
        <v>105</v>
      </c>
      <c r="Q5" s="26" t="s">
        <v>106</v>
      </c>
    </row>
    <row r="6" ht="20" customHeight="1" spans="1:17">
      <c r="A6" s="27" t="s">
        <v>107</v>
      </c>
      <c r="B6" s="28" t="s">
        <v>108</v>
      </c>
      <c r="C6" s="29">
        <f>IFERROR((COUNTIF('Raw Data'!F6:F35,"Y")+COUNTIF('Raw Data'!F6:F35,"P"))/30,"")</f>
        <v>0.533333333333333</v>
      </c>
      <c r="D6" s="30">
        <f>IFERROR((COUNTIF('Raw Data'!J6:J35,"Y")+COUNTIF('Raw Data'!J6:J35,"P"))/30,"")</f>
        <v>0.566666666666667</v>
      </c>
      <c r="E6" s="31" t="str">
        <f>IF(C6="","",IF(C6&gt;D6,"🔴 Trip.com",IF(D6&gt;C6,"🔵 Booking","🟡 Tie")))</f>
        <v>🔵 Booking</v>
      </c>
      <c r="F6" s="29">
        <f>IFERROR((COUNTIF('Raw Data'!N6:N35,"Y")+COUNTIF('Raw Data'!N6:N35,"P"))/30,"")</f>
        <v>0.6</v>
      </c>
      <c r="G6" s="30">
        <f>IFERROR((COUNTIF('Raw Data'!R6:R35,"Y")+COUNTIF('Raw Data'!R6:R35,"P"))/30,"")</f>
        <v>0.633333333333333</v>
      </c>
      <c r="H6" s="31" t="str">
        <f>IF(F6="","",IF(F6&gt;G6,"🔴 Trip.com",IF(G6&gt;F6,"🔵 Booking","🟡 Tie")))</f>
        <v>🔵 Booking</v>
      </c>
      <c r="I6" s="29">
        <f>IFERROR((COUNTIF('Raw Data'!V6:V35,"Y")+COUNTIF('Raw Data'!V6:V35,"P"))/30,"")</f>
        <v>0</v>
      </c>
      <c r="J6" s="30">
        <f>IFERROR((COUNTIF('Raw Data'!Z6:Z35,"Y")+COUNTIF('Raw Data'!Z6:Z35,"P"))/30,"")</f>
        <v>0</v>
      </c>
      <c r="K6" s="31" t="str">
        <f>IF(I6="","",IF(I6&gt;J6,"🔴 Trip.com",IF(J6&gt;I6,"🔵 Booking","🟡 Tie")))</f>
        <v>🟡 Tie</v>
      </c>
      <c r="L6" s="29">
        <f>IFERROR((COUNTIF('Raw Data'!AD6:AD35,"Y")+COUNTIF('Raw Data'!AD6:AD35,"P"))/30,"")</f>
        <v>0</v>
      </c>
      <c r="M6" s="30">
        <f>IFERROR((COUNTIF('Raw Data'!AH6:AH35,"Y")+COUNTIF('Raw Data'!AH6:AH35,"P"))/30,"")</f>
        <v>0</v>
      </c>
      <c r="N6" s="31" t="str">
        <f>IF(L6="","",IF(L6&gt;M6,"🔴 Trip.com",IF(M6&gt;L6,"🔵 Booking","🟡 Tie")))</f>
        <v>🟡 Tie</v>
      </c>
      <c r="O6" s="32">
        <f>IFERROR(AVERAGE(C6,F6,I6,L6),"")</f>
        <v>0.283333333333333</v>
      </c>
      <c r="P6" s="33">
        <f>IFERROR(AVERAGE(D6,G6,J6,M6),"")</f>
        <v>0.3</v>
      </c>
      <c r="Q6" s="34" t="str">
        <f>IF(O6="","",IF(O6&gt;P6,"🔴 Trip.com",IF(P6&gt;O6,"🔵 Booking","🟡 Tie")))</f>
        <v>🔵 Booking</v>
      </c>
    </row>
    <row r="7" ht="20" customHeight="1" spans="1:17">
      <c r="A7" s="10" t="s">
        <v>109</v>
      </c>
      <c r="B7" s="35" t="s">
        <v>19</v>
      </c>
      <c r="C7" s="29">
        <f>IFERROR((COUNTIF('Raw Data'!F6:F16,"Y")+COUNTIF('Raw Data'!F6:F16,"P"))/11,"")</f>
        <v>0.0909090909090909</v>
      </c>
      <c r="D7" s="30">
        <f>IFERROR((COUNTIF('Raw Data'!J6:J16,"Y")+COUNTIF('Raw Data'!J6:J16,"P"))/11,"")</f>
        <v>0.272727272727273</v>
      </c>
      <c r="E7" s="11" t="str">
        <f>IF(C7="","",IF(C7&gt;D7,"🔴 Trip.com",IF(D7&gt;C7,"🔵 Booking","🟡 Tie")))</f>
        <v>🔵 Booking</v>
      </c>
      <c r="F7" s="29">
        <f>IFERROR((COUNTIF('Raw Data'!N6:N16,"Y")+COUNTIF('Raw Data'!N6:N16,"P"))/11,"")</f>
        <v>0.181818181818182</v>
      </c>
      <c r="G7" s="30">
        <f>IFERROR((COUNTIF('Raw Data'!R6:R16,"Y")+COUNTIF('Raw Data'!R6:R16,"P"))/11,"")</f>
        <v>0.272727272727273</v>
      </c>
      <c r="H7" s="11" t="str">
        <f>IF(F7="","",IF(F7&gt;G7,"🔴 Trip.com",IF(G7&gt;F7,"🔵 Booking","🟡 Tie")))</f>
        <v>🔵 Booking</v>
      </c>
      <c r="I7" s="29">
        <f>IFERROR((COUNTIF('Raw Data'!V6:V16,"Y")+COUNTIF('Raw Data'!V6:V16,"P"))/10,"")</f>
        <v>0</v>
      </c>
      <c r="J7" s="30">
        <f>IFERROR((COUNTIF('Raw Data'!Z6:Z16,"Y")+COUNTIF('Raw Data'!Z6:Z16,"P"))/10,"")</f>
        <v>0</v>
      </c>
      <c r="K7" s="11" t="str">
        <f>IF(I7="","",IF(I7&gt;J7,"🔴 Trip.com",IF(J7&gt;I7,"🔵 Booking","🟡 Tie")))</f>
        <v>🟡 Tie</v>
      </c>
      <c r="L7" s="29">
        <f>IFERROR((COUNTIF('Raw Data'!AD6:AD16,"Y")+COUNTIF('Raw Data'!AD6:AD16,"P"))/10,"")</f>
        <v>0</v>
      </c>
      <c r="M7" s="30">
        <f>IFERROR((COUNTIF('Raw Data'!AH6:AH16,"Y")+COUNTIF('Raw Data'!AH6:AH16,"P"))/10,"")</f>
        <v>0</v>
      </c>
      <c r="N7" s="11" t="str">
        <f>IF(L7="","",IF(L7&gt;M7,"🔴 Trip.com",IF(M7&gt;L7,"🔵 Booking","🟡 Tie")))</f>
        <v>🟡 Tie</v>
      </c>
      <c r="O7" s="32">
        <f>IFERROR(AVERAGE(C7,F7,I7,L7),"")</f>
        <v>0.0681818181818182</v>
      </c>
      <c r="P7" s="33">
        <f>IFERROR(AVERAGE(D7,G7,J7,M7),"")</f>
        <v>0.136363636363636</v>
      </c>
      <c r="Q7" s="12" t="str">
        <f>IF(O7="","",IF(O7&gt;P7,"🔴 Trip.com",IF(P7&gt;O7,"🔵 Booking","🟡 Tie")))</f>
        <v>🔵 Booking</v>
      </c>
    </row>
    <row r="8" ht="20" customHeight="1" spans="1:17">
      <c r="A8" s="36" t="s">
        <v>110</v>
      </c>
      <c r="B8" s="28" t="s">
        <v>49</v>
      </c>
      <c r="C8" s="29">
        <f>IFERROR((COUNTIF('Raw Data'!F17:F23,"Y")+COUNTIF('Raw Data'!F17:F23,"P"))/7,"")</f>
        <v>0.428571428571429</v>
      </c>
      <c r="D8" s="30">
        <f>IFERROR((COUNTIF('Raw Data'!J17:J23,"Y")+COUNTIF('Raw Data'!J17:J23,"P"))/7,"")</f>
        <v>0.285714285714286</v>
      </c>
      <c r="E8" s="31" t="str">
        <f>IF(C8="","",IF(C8&gt;D8,"🔴 Trip.com",IF(D8&gt;C8,"🔵 Booking","🟡 Tie")))</f>
        <v>🔴 Trip.com</v>
      </c>
      <c r="F8" s="29">
        <f>IFERROR((COUNTIF('Raw Data'!N17:N23,"Y")+COUNTIF('Raw Data'!N17:N23,"P"))/7,"")</f>
        <v>0.571428571428571</v>
      </c>
      <c r="G8" s="30">
        <f>IFERROR((COUNTIF('Raw Data'!R17:R23,"Y")+COUNTIF('Raw Data'!R17:R23,"P"))/7,"")</f>
        <v>0.571428571428571</v>
      </c>
      <c r="H8" s="31" t="str">
        <f>IF(F8="","",IF(F8&gt;G8,"🔴 Trip.com",IF(G8&gt;F8,"🔵 Booking","🟡 Tie")))</f>
        <v>🟡 Tie</v>
      </c>
      <c r="I8" s="29">
        <f>IFERROR((COUNTIF('Raw Data'!V17:V23,"Y")+COUNTIF('Raw Data'!V17:V23,"P"))/7,"")</f>
        <v>0</v>
      </c>
      <c r="J8" s="30">
        <f>IFERROR((COUNTIF('Raw Data'!Z17:Z23,"Y")+COUNTIF('Raw Data'!Z17:Z23,"P"))/7,"")</f>
        <v>0</v>
      </c>
      <c r="K8" s="31" t="str">
        <f>IF(I8="","",IF(I8&gt;J8,"🔴 Trip.com",IF(J8&gt;I8,"🔵 Booking","🟡 Tie")))</f>
        <v>🟡 Tie</v>
      </c>
      <c r="L8" s="29">
        <f>IFERROR((COUNTIF('Raw Data'!AD17:AD23,"Y")+COUNTIF('Raw Data'!AD17:AD23,"P"))/7,"")</f>
        <v>0</v>
      </c>
      <c r="M8" s="30">
        <f>IFERROR((COUNTIF('Raw Data'!AH17:AH23,"Y")+COUNTIF('Raw Data'!AH17:AH23,"P"))/7,"")</f>
        <v>0</v>
      </c>
      <c r="N8" s="31" t="str">
        <f>IF(L8="","",IF(L8&gt;M8,"🔴 Trip.com",IF(M8&gt;L8,"🔵 Booking","🟡 Tie")))</f>
        <v>🟡 Tie</v>
      </c>
      <c r="O8" s="32">
        <f>IFERROR(AVERAGE(C8,F8,I8,L8),"")</f>
        <v>0.25</v>
      </c>
      <c r="P8" s="33">
        <f>IFERROR(AVERAGE(D8,G8,J8,M8),"")</f>
        <v>0.214285714285714</v>
      </c>
      <c r="Q8" s="34" t="str">
        <f>IF(O8="","",IF(O8&gt;P8,"🔴 Trip.com",IF(P8&gt;O8,"🔵 Booking","🟡 Tie")))</f>
        <v>🔴 Trip.com</v>
      </c>
    </row>
    <row r="9" ht="20" customHeight="1" spans="1:17">
      <c r="A9" s="10" t="s">
        <v>111</v>
      </c>
      <c r="B9" s="35" t="s">
        <v>65</v>
      </c>
      <c r="C9" s="29">
        <f>IFERROR((COUNTIF('Raw Data'!F24:F35,"Y")+COUNTIF('Raw Data'!F24:F35,"P"))/12,"")</f>
        <v>1</v>
      </c>
      <c r="D9" s="30">
        <f>IFERROR((COUNTIF('Raw Data'!J24:J35,"Y")+COUNTIF('Raw Data'!J24:J35,"P"))/12,"")</f>
        <v>1</v>
      </c>
      <c r="E9" s="11" t="str">
        <f>IF(C9="","",IF(C9&gt;D9,"🔴 Trip.com",IF(D9&gt;C9,"🔵 Booking","🟡 Tie")))</f>
        <v>🟡 Tie</v>
      </c>
      <c r="F9" s="29">
        <f>IFERROR((COUNTIF('Raw Data'!N24:N35,"Y")+COUNTIF('Raw Data'!N24:N35,"P"))/12,"")</f>
        <v>1</v>
      </c>
      <c r="G9" s="30">
        <f>IFERROR((COUNTIF('Raw Data'!R24:R35,"Y")+COUNTIF('Raw Data'!R24:R35,"P"))/12,"")</f>
        <v>1</v>
      </c>
      <c r="H9" s="11" t="str">
        <f>IF(F9="","",IF(F9&gt;G9,"🔴 Trip.com",IF(G9&gt;F9,"🔵 Booking","🟡 Tie")))</f>
        <v>🟡 Tie</v>
      </c>
      <c r="I9" s="29">
        <f>IFERROR((COUNTIF('Raw Data'!V24:V28,"Y")+COUNTIF('Raw Data'!V24:V28,"P"))/5,"")</f>
        <v>0</v>
      </c>
      <c r="J9" s="30">
        <f>IFERROR((COUNTIF('Raw Data'!Z24:Z28,"Y")+COUNTIF('Raw Data'!Z24:Z28,"P"))/5,"")</f>
        <v>0</v>
      </c>
      <c r="K9" s="11" t="str">
        <f>IF(I9="","",IF(I9&gt;J9,"🔴 Trip.com",IF(J9&gt;I9,"🔵 Booking","🟡 Tie")))</f>
        <v>🟡 Tie</v>
      </c>
      <c r="L9" s="29">
        <f>IFERROR((COUNTIF('Raw Data'!AD24:AD28,"Y")+COUNTIF('Raw Data'!AD24:AD28,"P"))/5,"")</f>
        <v>0</v>
      </c>
      <c r="M9" s="30">
        <f>IFERROR((COUNTIF('Raw Data'!AH24:AH28,"Y")+COUNTIF('Raw Data'!AH24:AH28,"P"))/5,"")</f>
        <v>0</v>
      </c>
      <c r="N9" s="11" t="str">
        <f>IF(L9="","",IF(L9&gt;M9,"🔴 Trip.com",IF(M9&gt;L9,"🔵 Booking","🟡 Tie")))</f>
        <v>🟡 Tie</v>
      </c>
      <c r="O9" s="32">
        <f>IFERROR(AVERAGE(C9,F9,I9,L9),"")</f>
        <v>0.5</v>
      </c>
      <c r="P9" s="33">
        <f>IFERROR(AVERAGE(D9,G9,J9,M9),"")</f>
        <v>0.5</v>
      </c>
      <c r="Q9" s="12" t="str">
        <f>IF(O9="","",IF(O9&gt;P9,"🔴 Trip.com",IF(P9&gt;O9,"🔵 Booking","🟡 Tie")))</f>
        <v>🟡 Tie</v>
      </c>
    </row>
    <row r="11" ht="22" customHeight="1" spans="1:17">
      <c r="A11" s="25" t="s">
        <v>112</v>
      </c>
    </row>
    <row r="12" ht="36" customHeight="1" spans="1:17">
      <c r="A12" s="26" t="s">
        <v>93</v>
      </c>
      <c r="B12" s="26" t="s">
        <v>94</v>
      </c>
      <c r="C12" s="26" t="s">
        <v>95</v>
      </c>
      <c r="D12" s="26" t="s">
        <v>96</v>
      </c>
      <c r="E12" s="26" t="s">
        <v>97</v>
      </c>
      <c r="F12" s="26" t="s">
        <v>98</v>
      </c>
      <c r="G12" s="26" t="s">
        <v>99</v>
      </c>
      <c r="H12" s="26" t="s">
        <v>97</v>
      </c>
      <c r="I12" s="26" t="s">
        <v>100</v>
      </c>
      <c r="J12" s="26" t="s">
        <v>101</v>
      </c>
      <c r="K12" s="26" t="s">
        <v>97</v>
      </c>
      <c r="L12" s="26" t="s">
        <v>102</v>
      </c>
      <c r="M12" s="26" t="s">
        <v>103</v>
      </c>
      <c r="N12" s="26" t="s">
        <v>97</v>
      </c>
      <c r="O12" s="26" t="s">
        <v>104</v>
      </c>
      <c r="P12" s="26" t="s">
        <v>105</v>
      </c>
      <c r="Q12" s="26" t="s">
        <v>106</v>
      </c>
    </row>
    <row r="13" ht="20" customHeight="1" spans="1:17">
      <c r="A13" s="37" t="s">
        <v>113</v>
      </c>
      <c r="B13" s="35" t="s">
        <v>114</v>
      </c>
      <c r="C13" s="29">
        <f>IFERROR(COUNTIF('Raw Data'!G6:G35,"Y")/30,"")</f>
        <v>0.433333333333333</v>
      </c>
      <c r="D13" s="30">
        <f>IFERROR(COUNTIF('Raw Data'!K6:K35,"Y")/30,"")</f>
        <v>0.433333333333333</v>
      </c>
      <c r="E13" s="11" t="str">
        <f>IF(C13="","",IF(C13&gt;D13,"🔴 Trip.com",IF(D13&gt;C13,"🔵 Booking","🟡 Tie")))</f>
        <v>🟡 Tie</v>
      </c>
      <c r="F13" s="29">
        <f>IFERROR(COUNTIF('Raw Data'!O6:O35,"Y")/30,"")</f>
        <v>0.6</v>
      </c>
      <c r="G13" s="30">
        <f>IFERROR(COUNTIF('Raw Data'!S6:S35,"Y")/30,"")</f>
        <v>0.633333333333333</v>
      </c>
      <c r="H13" s="11" t="str">
        <f>IF(F13="","",IF(F13&gt;G13,"🔴 Trip.com",IF(G13&gt;F13,"🔵 Booking","🟡 Tie")))</f>
        <v>🔵 Booking</v>
      </c>
      <c r="I13" s="29">
        <f>IFERROR(COUNTIF('Raw Data'!W6:W35,"Y")/30,"")</f>
        <v>0</v>
      </c>
      <c r="J13" s="30">
        <f>IFERROR(COUNTIF('Raw Data'!AA6:AA35,"Y")/30,"")</f>
        <v>0</v>
      </c>
      <c r="K13" s="11" t="str">
        <f>IF(I13="","",IF(I13&gt;J13,"🔴 Trip.com",IF(J13&gt;I13,"🔵 Booking","🟡 Tie")))</f>
        <v>🟡 Tie</v>
      </c>
      <c r="L13" s="29">
        <f>IFERROR(COUNTIF('Raw Data'!AE6:AE35,"Y")/30,"")</f>
        <v>0</v>
      </c>
      <c r="M13" s="30">
        <f>IFERROR(COUNTIF('Raw Data'!AI6:AI35,"Y")/30,"")</f>
        <v>0</v>
      </c>
      <c r="N13" s="11" t="str">
        <f>IF(L13="","",IF(L13&gt;M13,"🔴 Trip.com",IF(M13&gt;L13,"🔵 Booking","🟡 Tie")))</f>
        <v>🟡 Tie</v>
      </c>
      <c r="O13" s="32">
        <f>IFERROR(AVERAGE(C13,F13,I13,L13),"")</f>
        <v>0.258333333333333</v>
      </c>
      <c r="P13" s="33">
        <f>IFERROR(AVERAGE(D13,G13,J13,M13),"")</f>
        <v>0.266666666666667</v>
      </c>
      <c r="Q13" s="12" t="str">
        <f>IF(O13="","",IF(O13&gt;P13,"🔴 Trip.com",IF(P13&gt;O13,"🔵 Booking","🟡 Tie")))</f>
        <v>🔵 Booking</v>
      </c>
    </row>
    <row r="15" ht="22" customHeight="1" spans="1:17">
      <c r="A15" s="25" t="s">
        <v>115</v>
      </c>
    </row>
    <row r="16" ht="36" customHeight="1" spans="1:17">
      <c r="A16" s="26" t="s">
        <v>93</v>
      </c>
      <c r="B16" s="26" t="s">
        <v>94</v>
      </c>
      <c r="C16" s="26" t="s">
        <v>95</v>
      </c>
      <c r="D16" s="26" t="s">
        <v>96</v>
      </c>
      <c r="E16" s="26" t="s">
        <v>97</v>
      </c>
      <c r="F16" s="26" t="s">
        <v>98</v>
      </c>
      <c r="G16" s="26" t="s">
        <v>99</v>
      </c>
      <c r="H16" s="26" t="s">
        <v>97</v>
      </c>
      <c r="I16" s="26" t="s">
        <v>100</v>
      </c>
      <c r="J16" s="26" t="s">
        <v>101</v>
      </c>
      <c r="K16" s="26" t="s">
        <v>97</v>
      </c>
      <c r="L16" s="26" t="s">
        <v>102</v>
      </c>
      <c r="M16" s="26" t="s">
        <v>103</v>
      </c>
      <c r="N16" s="26" t="s">
        <v>97</v>
      </c>
      <c r="O16" s="26" t="s">
        <v>104</v>
      </c>
      <c r="P16" s="26" t="s">
        <v>105</v>
      </c>
      <c r="Q16" s="26" t="s">
        <v>106</v>
      </c>
    </row>
    <row r="17" ht="20" customHeight="1" spans="1:17">
      <c r="A17" s="37" t="s">
        <v>116</v>
      </c>
      <c r="B17" s="35" t="s">
        <v>117</v>
      </c>
      <c r="C17" s="29">
        <f>IFERROR((COUNTIF('Raw Data'!F6:F35,"Y")+COUNTIF('Raw Data'!F6:F35,"P"))/30,"")</f>
        <v>0.533333333333333</v>
      </c>
      <c r="D17" s="30">
        <f>IFERROR((COUNTIF('Raw Data'!J6:J35,"Y")+COUNTIF('Raw Data'!J6:J35,"P"))/30,"")</f>
        <v>0.566666666666667</v>
      </c>
      <c r="E17" s="32">
        <f>IFERROR(C17/(C17+D17),"")</f>
        <v>0.484848484848485</v>
      </c>
      <c r="F17" s="29">
        <f>IFERROR((COUNTIF('Raw Data'!N6:N35,"Y")+COUNTIF('Raw Data'!N6:N35,"P"))/30,"")</f>
        <v>0.6</v>
      </c>
      <c r="G17" s="30">
        <f>IFERROR((COUNTIF('Raw Data'!R6:R35,"Y")+COUNTIF('Raw Data'!R6:R35,"P"))/30,"")</f>
        <v>0.633333333333333</v>
      </c>
      <c r="H17" s="32">
        <f>IFERROR(F17/(F17+G17),"")</f>
        <v>0.486486486486486</v>
      </c>
      <c r="I17" s="29">
        <f>IFERROR((COUNTIF('Raw Data'!V6:V35,"Y")+COUNTIF('Raw Data'!V6:V35,"P"))/30,"")</f>
        <v>0</v>
      </c>
      <c r="J17" s="30">
        <f>IFERROR((COUNTIF('Raw Data'!Z6:Z35,"Y")+COUNTIF('Raw Data'!Z6:Z35,"P"))/30,"")</f>
        <v>0</v>
      </c>
      <c r="K17" s="32" t="str">
        <f>IFERROR(I17/(I17+J17),"")</f>
        <v/>
      </c>
      <c r="L17" s="29">
        <f>IFERROR((COUNTIF('Raw Data'!AD6:AD35,"Y")+COUNTIF('Raw Data'!AD6:AD35,"P"))/30,"")</f>
        <v>0</v>
      </c>
      <c r="M17" s="30">
        <f>IFERROR((COUNTIF('Raw Data'!AH6:AH35,"Y")+COUNTIF('Raw Data'!AH6:AH35,"P"))/30,"")</f>
        <v>0</v>
      </c>
      <c r="N17" s="32" t="str">
        <f>IFERROR(L17/(L17+M17),"")</f>
        <v/>
      </c>
      <c r="O17" s="32">
        <f>IFERROR(AVERAGE(C17,F17,I17,L17),"")</f>
        <v>0.283333333333333</v>
      </c>
      <c r="P17" s="33">
        <f>IFERROR(AVERAGE(D17,G17,J17,M17),"")</f>
        <v>0.3</v>
      </c>
      <c r="Q17" s="12" t="str">
        <f>IF(O17="","",IF(O17&gt;P17,"🔴 Trip.com",IF(P17&gt;O17,"🔵 Booking","🟡 Tie")))</f>
        <v>🔵 Booking</v>
      </c>
    </row>
    <row r="19" ht="22" customHeight="1" spans="1:17">
      <c r="A19" s="25" t="s">
        <v>118</v>
      </c>
    </row>
    <row r="20" ht="36" customHeight="1" spans="1:17">
      <c r="A20" s="26" t="s">
        <v>93</v>
      </c>
      <c r="B20" s="26" t="s">
        <v>94</v>
      </c>
      <c r="C20" s="26" t="s">
        <v>95</v>
      </c>
      <c r="D20" s="26" t="s">
        <v>96</v>
      </c>
      <c r="E20" s="26" t="s">
        <v>97</v>
      </c>
      <c r="F20" s="26" t="s">
        <v>98</v>
      </c>
      <c r="G20" s="26" t="s">
        <v>99</v>
      </c>
      <c r="H20" s="26" t="s">
        <v>97</v>
      </c>
      <c r="I20" s="26" t="s">
        <v>100</v>
      </c>
      <c r="J20" s="26" t="s">
        <v>101</v>
      </c>
      <c r="K20" s="26" t="s">
        <v>97</v>
      </c>
      <c r="L20" s="26" t="s">
        <v>102</v>
      </c>
      <c r="M20" s="26" t="s">
        <v>103</v>
      </c>
      <c r="N20" s="26" t="s">
        <v>97</v>
      </c>
      <c r="O20" s="26" t="s">
        <v>104</v>
      </c>
      <c r="P20" s="26" t="s">
        <v>105</v>
      </c>
      <c r="Q20" s="26" t="s">
        <v>106</v>
      </c>
    </row>
    <row r="21" ht="20" customHeight="1" spans="1:17">
      <c r="A21" s="37" t="s">
        <v>119</v>
      </c>
      <c r="B21" s="35" t="s">
        <v>120</v>
      </c>
      <c r="C21" s="29">
        <f>IFERROR(COUNTIF('Raw Data'!I6:I35,"+")/30,"")</f>
        <v>0</v>
      </c>
      <c r="D21" s="30">
        <f>IFERROR(COUNTIF('Raw Data'!M6:M35,"+")/30,"")</f>
        <v>0.0666666666666667</v>
      </c>
      <c r="E21" s="11" t="str">
        <f>IF(C21="","",IF(C21&gt;D21,"🔴 Trip.com",IF(D21&gt;C21,"🔵 Booking","🟡 Tie")))</f>
        <v>🔵 Booking</v>
      </c>
      <c r="F21" s="29">
        <f>IFERROR(COUNTIF('Raw Data'!Q6:Q35,"+")/30,"")</f>
        <v>0.0333333333333333</v>
      </c>
      <c r="G21" s="30">
        <f>IFERROR(COUNTIF('Raw Data'!U6:U35,"+")/30,"")</f>
        <v>0.166666666666667</v>
      </c>
      <c r="H21" s="11" t="str">
        <f>IF(F21="","",IF(F21&gt;G21,"🔴 Trip.com",IF(G21&gt;F21,"🔵 Booking","🟡 Tie")))</f>
        <v>🔵 Booking</v>
      </c>
      <c r="I21" s="29">
        <f>IFERROR(COUNTIF('Raw Data'!Y6:Y35,"+")/30,"")</f>
        <v>0</v>
      </c>
      <c r="J21" s="30">
        <f>IFERROR(COUNTIF('Raw Data'!AC6:AC35,"+")/30,"")</f>
        <v>0</v>
      </c>
      <c r="K21" s="11" t="str">
        <f>IF(I21="","",IF(I21&gt;J21,"🔴 Trip.com",IF(J21&gt;I21,"🔵 Booking","🟡 Tie")))</f>
        <v>🟡 Tie</v>
      </c>
      <c r="L21" s="29">
        <f>IFERROR(COUNTIF('Raw Data'!AG6:AG35,"+")/30,"")</f>
        <v>0</v>
      </c>
      <c r="M21" s="30">
        <f>IFERROR(COUNTIF('Raw Data'!AK6:AK35,"+")/30,"")</f>
        <v>0</v>
      </c>
      <c r="N21" s="11" t="str">
        <f>IF(L21="","",IF(L21&gt;M21,"🔴 Trip.com",IF(M21&gt;L21,"🔵 Booking","🟡 Tie")))</f>
        <v>🟡 Tie</v>
      </c>
      <c r="O21" s="32">
        <f>IFERROR(AVERAGE(C21,F21,I21,L21),"")</f>
        <v>0.00833333333333333</v>
      </c>
      <c r="P21" s="33">
        <f>IFERROR(AVERAGE(D21,G21,J21,M21),"")</f>
        <v>0.0583333333333333</v>
      </c>
      <c r="Q21" s="12" t="str">
        <f>IF(O21="","",IF(O21&gt;P21,"🔴 Trip.com",IF(P21&gt;O21,"🔵 Booking","🟡 Tie")))</f>
        <v>🔵 Booking</v>
      </c>
    </row>
    <row r="23" ht="22" customHeight="1" spans="1:17">
      <c r="A23" s="25" t="s">
        <v>121</v>
      </c>
    </row>
    <row r="24" ht="36" customHeight="1" spans="1:17">
      <c r="A24" s="26" t="s">
        <v>93</v>
      </c>
      <c r="B24" s="26" t="s">
        <v>94</v>
      </c>
      <c r="C24" s="26" t="s">
        <v>95</v>
      </c>
      <c r="D24" s="26" t="s">
        <v>96</v>
      </c>
      <c r="E24" s="26" t="s">
        <v>97</v>
      </c>
      <c r="F24" s="26" t="s">
        <v>98</v>
      </c>
      <c r="G24" s="26" t="s">
        <v>99</v>
      </c>
      <c r="H24" s="26" t="s">
        <v>97</v>
      </c>
      <c r="I24" s="26" t="s">
        <v>100</v>
      </c>
      <c r="J24" s="26" t="s">
        <v>101</v>
      </c>
      <c r="K24" s="26" t="s">
        <v>97</v>
      </c>
      <c r="L24" s="26" t="s">
        <v>102</v>
      </c>
      <c r="M24" s="26" t="s">
        <v>103</v>
      </c>
      <c r="N24" s="26" t="s">
        <v>97</v>
      </c>
      <c r="O24" s="26" t="s">
        <v>104</v>
      </c>
      <c r="P24" s="26" t="s">
        <v>105</v>
      </c>
      <c r="Q24" s="26" t="s">
        <v>106</v>
      </c>
    </row>
    <row r="25" ht="20" customHeight="1" spans="1:17">
      <c r="A25" s="37" t="s">
        <v>122</v>
      </c>
      <c r="B25" s="35" t="s">
        <v>123</v>
      </c>
      <c r="C25" s="38">
        <f>IFERROR(AVERAGEIF('Raw Data'!F6:F35,"Y",'Raw Data'!H6:H35),"")</f>
        <v>2.0625</v>
      </c>
      <c r="D25" s="39">
        <f>IFERROR(AVERAGEIF('Raw Data'!J6:J35,"Y",'Raw Data'!L6:L35),"")</f>
        <v>2.23529411764706</v>
      </c>
      <c r="E25" s="11" t="str">
        <f>IF(C25="","",IF(C25&lt;D25,"🔴 Trip.com",IF(D25&lt;C25,"🔵 Booking","🟡 Tie")))</f>
        <v>🔴 Trip.com</v>
      </c>
      <c r="F25" s="38">
        <f>IFERROR(AVERAGEIF('Raw Data'!N6:N35,"Y",'Raw Data'!P6:P35),"")</f>
        <v>2.5</v>
      </c>
      <c r="G25" s="39">
        <f>IFERROR(AVERAGEIF('Raw Data'!R6:R35,"Y",'Raw Data'!T6:T35),"")</f>
        <v>2.10526315789474</v>
      </c>
      <c r="H25" s="11" t="str">
        <f>IF(F25="","",IF(F25&lt;G25,"🔴 Trip.com",IF(G25&lt;F25,"🔵 Booking","🟡 Tie")))</f>
        <v>🔵 Booking</v>
      </c>
      <c r="I25" s="38" t="str">
        <f>IFERROR(AVERAGEIF('Raw Data'!V6:V35,"Y",'Raw Data'!X6:X35),"")</f>
        <v/>
      </c>
      <c r="J25" s="39" t="str">
        <f>IFERROR(AVERAGEIF('Raw Data'!Z6:Z35,"Y",'Raw Data'!AB6:AB35),"")</f>
        <v/>
      </c>
      <c r="K25" s="11" t="str">
        <f>IF(I25="","",IF(I25&lt;J25,"🔴 Trip.com",IF(J25&lt;I25,"🔵 Booking","🟡 Tie")))</f>
        <v/>
      </c>
      <c r="L25" s="38" t="str">
        <f>IFERROR(AVERAGEIF('Raw Data'!AD6:AD35,"Y",'Raw Data'!AF6:AF35),"")</f>
        <v/>
      </c>
      <c r="M25" s="39" t="str">
        <f>IFERROR(AVERAGEIF('Raw Data'!AH6:AH35,"Y",'Raw Data'!AJ6:AJ35),"")</f>
        <v/>
      </c>
      <c r="N25" s="11" t="str">
        <f>IF(L25="","",IF(L25&lt;M25,"🔴 Trip.com",IF(M25&lt;L25,"🔵 Booking","🟡 Tie")))</f>
        <v/>
      </c>
      <c r="O25" s="40">
        <f>IFERROR(AVERAGE(C25,F25,I25,L25),"")</f>
        <v>2.28125</v>
      </c>
      <c r="P25" s="41">
        <f>IFERROR(AVERAGE(D25,G25,J25,M25),"")</f>
        <v>2.1702786377709</v>
      </c>
      <c r="Q25" s="12" t="str">
        <f>IF(O25="","",IF(O25&lt;P25,"🔴 Trip.com",IF(P25&lt;O25,"🔵 Booking","🟡 Tie")))</f>
        <v>🔵 Booking</v>
      </c>
    </row>
  </sheetData>
  <mergeCells count="7">
    <mergeCell ref="A1:M1"/>
    <mergeCell ref="A2:M2"/>
    <mergeCell ref="A4:M4"/>
    <mergeCell ref="A11:M11"/>
    <mergeCell ref="A15:M15"/>
    <mergeCell ref="A19:M19"/>
    <mergeCell ref="A23:M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41C"/>
  </sheetPr>
  <dimension ref="A1:J32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K22" sqref="K22"/>
    </sheetView>
  </sheetViews>
  <sheetFormatPr defaultColWidth="9" defaultRowHeight="16.8"/>
  <cols>
    <col min="1" max="1" width="5" customWidth="1"/>
    <col min="2" max="2" width="32" customWidth="1"/>
    <col min="3" max="6" width="16" customWidth="1"/>
    <col min="7" max="8" width="18" customWidth="1"/>
    <col min="9" max="9" width="14" customWidth="1"/>
  </cols>
  <sheetData>
    <row r="1" ht="28" customHeight="1" spans="1:9">
      <c r="A1" s="1" t="s">
        <v>124</v>
      </c>
    </row>
    <row r="2" ht="16" customHeight="1" spans="1:9">
      <c r="A2" s="2" t="s">
        <v>125</v>
      </c>
    </row>
    <row r="3" ht="30" customHeight="1" spans="1:9">
      <c r="A3" s="3" t="s">
        <v>2</v>
      </c>
      <c r="B3" s="3" t="s">
        <v>126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127</v>
      </c>
      <c r="H3" s="3" t="s">
        <v>128</v>
      </c>
      <c r="I3" s="3" t="s">
        <v>129</v>
      </c>
    </row>
    <row r="4" ht="20" customHeight="1" spans="1:9">
      <c r="A4" s="4" t="s">
        <v>17</v>
      </c>
      <c r="B4" s="5" t="s">
        <v>130</v>
      </c>
      <c r="C4" s="6" t="str">
        <f>IF('Raw Data'!F6="Y",IF('Raw Data'!J6="Y","✅ Both","🔴 Trip only"),IF('Raw Data'!J6="Y","🔵 Book only","❌ Neither"))</f>
        <v>🔵 Book only</v>
      </c>
      <c r="D4" s="6" t="str">
        <f>IF('Raw Data'!N6="Y",IF('Raw Data'!R6="Y","✅ Both","🔴 Trip only"),IF('Raw Data'!R6="Y","🔵 Book only","❌ Neither"))</f>
        <v>❌ Neither</v>
      </c>
      <c r="E4" s="6" t="str">
        <f>IF('Raw Data'!V6="Y",IF('Raw Data'!Z6="Y","✅ Both","🔴 Trip only"),IF('Raw Data'!Z6="Y","🔵 Book only","❌ Neither"))</f>
        <v>❌ Neither</v>
      </c>
      <c r="F4" s="6" t="str">
        <f>IF('Raw Data'!AD6="Y",IF('Raw Data'!AH6="Y","✅ Both","🔴 Trip only"),IF('Raw Data'!AH6="Y","🔵 Book only","❌ Neither"))</f>
        <v>❌ Neither</v>
      </c>
      <c r="G4" s="7">
        <f>IF('Raw Data'!F6="Y",1,0)+IF('Raw Data'!N6="Y",1,0)+IF('Raw Data'!V6="Y",1,0)+IF('Raw Data'!AD6="Y",1,0)</f>
        <v>0</v>
      </c>
      <c r="H4" s="8">
        <f>IF('Raw Data'!J6="Y",1,0)+IF('Raw Data'!R6="Y",1,0)+IF('Raw Data'!Z6="Y",1,0)+IF('Raw Data'!AH6="Y",1,0)</f>
        <v>1</v>
      </c>
      <c r="I4" s="9" t="str">
        <f t="shared" ref="I4:I33" si="0">IF(G4=0,"🔴 CRITICAL",IF(G4&lt;H4,"🟡 GAP",IF(G4&gt;H4,"🟢 LEAD","🟡 TIED")))</f>
        <v>🔴 CRITICAL</v>
      </c>
    </row>
    <row r="5" ht="20" customHeight="1" spans="1:9">
      <c r="A5" s="4" t="s">
        <v>27</v>
      </c>
      <c r="B5" s="10" t="s">
        <v>131</v>
      </c>
      <c r="C5" s="11" t="str">
        <f>IF('Raw Data'!F7="Y",IF('Raw Data'!J7="Y","✅ Both","🔴 Trip only"),IF('Raw Data'!J7="Y","🔵 Book only","❌ Neither"))</f>
        <v>❌ Neither</v>
      </c>
      <c r="D5" s="11" t="str">
        <f>IF('Raw Data'!N7="Y",IF('Raw Data'!R7="Y","✅ Both","🔴 Trip only"),IF('Raw Data'!R7="Y","🔵 Book only","❌ Neither"))</f>
        <v>❌ Neither</v>
      </c>
      <c r="E5" s="11" t="str">
        <f>IF('Raw Data'!V7="Y",IF('Raw Data'!Z7="Y","✅ Both","🔴 Trip only"),IF('Raw Data'!Z7="Y","🔵 Book only","❌ Neither"))</f>
        <v>❌ Neither</v>
      </c>
      <c r="F5" s="11" t="str">
        <f>IF('Raw Data'!AD7="Y",IF('Raw Data'!AH7="Y","✅ Both","🔴 Trip only"),IF('Raw Data'!AH7="Y","🔵 Book only","❌ Neither"))</f>
        <v>❌ Neither</v>
      </c>
      <c r="G5" s="7">
        <f>IF('Raw Data'!F7="Y",1,0)+IF('Raw Data'!N7="Y",1,0)+IF('Raw Data'!V7="Y",1,0)+IF('Raw Data'!AD7="Y",1,0)</f>
        <v>0</v>
      </c>
      <c r="H5" s="8">
        <f>IF('Raw Data'!J7="Y",1,0)+IF('Raw Data'!R7="Y",1,0)+IF('Raw Data'!Z7="Y",1,0)+IF('Raw Data'!AH7="Y",1,0)</f>
        <v>0</v>
      </c>
      <c r="I5" s="12" t="str">
        <f t="shared" si="0"/>
        <v>🔴 CRITICAL</v>
      </c>
    </row>
    <row r="6" ht="20" customHeight="1" spans="1:9">
      <c r="A6" s="4" t="s">
        <v>29</v>
      </c>
      <c r="B6" s="5" t="s">
        <v>132</v>
      </c>
      <c r="C6" s="6" t="str">
        <f>IF('Raw Data'!F8="Y",IF('Raw Data'!J8="Y","✅ Both","🔴 Trip only"),IF('Raw Data'!J8="Y","🔵 Book only","❌ Neither"))</f>
        <v>🔵 Book only</v>
      </c>
      <c r="D6" s="6" t="str">
        <f>IF('Raw Data'!N8="Y",IF('Raw Data'!R8="Y","✅ Both","🔴 Trip only"),IF('Raw Data'!R8="Y","🔵 Book only","❌ Neither"))</f>
        <v>✅ Both</v>
      </c>
      <c r="E6" s="6" t="str">
        <f>IF('Raw Data'!V8="Y",IF('Raw Data'!Z8="Y","✅ Both","🔴 Trip only"),IF('Raw Data'!Z8="Y","🔵 Book only","❌ Neither"))</f>
        <v>❌ Neither</v>
      </c>
      <c r="F6" s="6" t="str">
        <f>IF('Raw Data'!AD8="Y",IF('Raw Data'!AH8="Y","✅ Both","🔴 Trip only"),IF('Raw Data'!AH8="Y","🔵 Book only","❌ Neither"))</f>
        <v>❌ Neither</v>
      </c>
      <c r="G6" s="7">
        <f>IF('Raw Data'!F8="Y",1,0)+IF('Raw Data'!N8="Y",1,0)+IF('Raw Data'!V8="Y",1,0)+IF('Raw Data'!AD8="Y",1,0)</f>
        <v>1</v>
      </c>
      <c r="H6" s="8">
        <f>IF('Raw Data'!J8="Y",1,0)+IF('Raw Data'!R8="Y",1,0)+IF('Raw Data'!Z8="Y",1,0)+IF('Raw Data'!AH8="Y",1,0)</f>
        <v>2</v>
      </c>
      <c r="I6" s="9" t="str">
        <f t="shared" si="0"/>
        <v>🟡 GAP</v>
      </c>
    </row>
    <row r="7" ht="20" customHeight="1" spans="1:9">
      <c r="A7" s="4" t="s">
        <v>31</v>
      </c>
      <c r="B7" s="10" t="s">
        <v>133</v>
      </c>
      <c r="C7" s="11" t="str">
        <f>IF('Raw Data'!F9="Y",IF('Raw Data'!J9="Y","✅ Both","🔴 Trip only"),IF('Raw Data'!J9="Y","🔵 Book only","❌ Neither"))</f>
        <v>❌ Neither</v>
      </c>
      <c r="D7" s="11" t="str">
        <f>IF('Raw Data'!N9="Y",IF('Raw Data'!R9="Y","✅ Both","🔴 Trip only"),IF('Raw Data'!R9="Y","🔵 Book only","❌ Neither"))</f>
        <v>❌ Neither</v>
      </c>
      <c r="E7" s="11" t="str">
        <f>IF('Raw Data'!V9="Y",IF('Raw Data'!Z9="Y","✅ Both","🔴 Trip only"),IF('Raw Data'!Z9="Y","🔵 Book only","❌ Neither"))</f>
        <v>❌ Neither</v>
      </c>
      <c r="F7" s="11" t="str">
        <f>IF('Raw Data'!AD9="Y",IF('Raw Data'!AH9="Y","✅ Both","🔴 Trip only"),IF('Raw Data'!AH9="Y","🔵 Book only","❌ Neither"))</f>
        <v>❌ Neither</v>
      </c>
      <c r="G7" s="7">
        <f>IF('Raw Data'!F9="Y",1,0)+IF('Raw Data'!N9="Y",1,0)+IF('Raw Data'!V9="Y",1,0)+IF('Raw Data'!AD9="Y",1,0)</f>
        <v>0</v>
      </c>
      <c r="H7" s="8">
        <f>IF('Raw Data'!J9="Y",1,0)+IF('Raw Data'!R9="Y",1,0)+IF('Raw Data'!Z9="Y",1,0)+IF('Raw Data'!AH9="Y",1,0)</f>
        <v>0</v>
      </c>
      <c r="I7" s="12" t="str">
        <f t="shared" si="0"/>
        <v>🔴 CRITICAL</v>
      </c>
    </row>
    <row r="8" ht="20" customHeight="1" spans="1:9">
      <c r="A8" s="4" t="s">
        <v>33</v>
      </c>
      <c r="B8" s="5" t="s">
        <v>134</v>
      </c>
      <c r="C8" s="6" t="str">
        <f>IF('Raw Data'!F10="Y",IF('Raw Data'!J10="Y","✅ Both","🔴 Trip only"),IF('Raw Data'!J10="Y","🔵 Book only","❌ Neither"))</f>
        <v>❌ Neither</v>
      </c>
      <c r="D8" s="6" t="str">
        <f>IF('Raw Data'!N10="Y",IF('Raw Data'!R10="Y","✅ Both","🔴 Trip only"),IF('Raw Data'!R10="Y","🔵 Book only","❌ Neither"))</f>
        <v>❌ Neither</v>
      </c>
      <c r="E8" s="6" t="str">
        <f>IF('Raw Data'!V10="Y",IF('Raw Data'!Z10="Y","✅ Both","🔴 Trip only"),IF('Raw Data'!Z10="Y","🔵 Book only","❌ Neither"))</f>
        <v>❌ Neither</v>
      </c>
      <c r="F8" s="6" t="str">
        <f>IF('Raw Data'!AD10="Y",IF('Raw Data'!AH10="Y","✅ Both","🔴 Trip only"),IF('Raw Data'!AH10="Y","🔵 Book only","❌ Neither"))</f>
        <v>❌ Neither</v>
      </c>
      <c r="G8" s="7">
        <f>IF('Raw Data'!F10="Y",1,0)+IF('Raw Data'!N10="Y",1,0)+IF('Raw Data'!V10="Y",1,0)+IF('Raw Data'!AD10="Y",1,0)</f>
        <v>0</v>
      </c>
      <c r="H8" s="8">
        <f>IF('Raw Data'!J10="Y",1,0)+IF('Raw Data'!R10="Y",1,0)+IF('Raw Data'!Z10="Y",1,0)+IF('Raw Data'!AH10="Y",1,0)</f>
        <v>0</v>
      </c>
      <c r="I8" s="9" t="str">
        <f t="shared" si="0"/>
        <v>🔴 CRITICAL</v>
      </c>
    </row>
    <row r="9" ht="20" customHeight="1" spans="1:9">
      <c r="A9" s="4" t="s">
        <v>35</v>
      </c>
      <c r="B9" s="10" t="s">
        <v>135</v>
      </c>
      <c r="C9" s="11" t="str">
        <f>IF('Raw Data'!F11="Y",IF('Raw Data'!J11="Y","✅ Both","🔴 Trip only"),IF('Raw Data'!J11="Y","🔵 Book only","❌ Neither"))</f>
        <v>❌ Neither</v>
      </c>
      <c r="D9" s="11" t="str">
        <f>IF('Raw Data'!N11="Y",IF('Raw Data'!R11="Y","✅ Both","🔴 Trip only"),IF('Raw Data'!R11="Y","🔵 Book only","❌ Neither"))</f>
        <v>❌ Neither</v>
      </c>
      <c r="E9" s="11" t="str">
        <f>IF('Raw Data'!V11="Y",IF('Raw Data'!Z11="Y","✅ Both","🔴 Trip only"),IF('Raw Data'!Z11="Y","🔵 Book only","❌ Neither"))</f>
        <v>❌ Neither</v>
      </c>
      <c r="F9" s="11" t="str">
        <f>IF('Raw Data'!AD11="Y",IF('Raw Data'!AH11="Y","✅ Both","🔴 Trip only"),IF('Raw Data'!AH11="Y","🔵 Book only","❌ Neither"))</f>
        <v>❌ Neither</v>
      </c>
      <c r="G9" s="7">
        <f>IF('Raw Data'!F11="Y",1,0)+IF('Raw Data'!N11="Y",1,0)+IF('Raw Data'!V11="Y",1,0)+IF('Raw Data'!AD11="Y",1,0)</f>
        <v>0</v>
      </c>
      <c r="H9" s="8">
        <f>IF('Raw Data'!J11="Y",1,0)+IF('Raw Data'!R11="Y",1,0)+IF('Raw Data'!Z11="Y",1,0)+IF('Raw Data'!AH11="Y",1,0)</f>
        <v>0</v>
      </c>
      <c r="I9" s="12" t="str">
        <f t="shared" si="0"/>
        <v>🔴 CRITICAL</v>
      </c>
    </row>
    <row r="10" ht="20" customHeight="1" spans="1:9">
      <c r="A10" s="4" t="s">
        <v>37</v>
      </c>
      <c r="B10" s="5" t="s">
        <v>136</v>
      </c>
      <c r="C10" s="6" t="str">
        <f>IF('Raw Data'!F12="Y",IF('Raw Data'!J12="Y","✅ Both","🔴 Trip only"),IF('Raw Data'!J12="Y","🔵 Book only","❌ Neither"))</f>
        <v>❌ Neither</v>
      </c>
      <c r="D10" s="6" t="str">
        <f>IF('Raw Data'!N12="Y",IF('Raw Data'!R12="Y","✅ Both","🔴 Trip only"),IF('Raw Data'!R12="Y","🔵 Book only","❌ Neither"))</f>
        <v>❌ Neither</v>
      </c>
      <c r="E10" s="6" t="str">
        <f>IF('Raw Data'!V12="Y",IF('Raw Data'!Z12="Y","✅ Both","🔴 Trip only"),IF('Raw Data'!Z12="Y","🔵 Book only","❌ Neither"))</f>
        <v>❌ Neither</v>
      </c>
      <c r="F10" s="6" t="str">
        <f>IF('Raw Data'!AD12="Y",IF('Raw Data'!AH12="Y","✅ Both","🔴 Trip only"),IF('Raw Data'!AH12="Y","🔵 Book only","❌ Neither"))</f>
        <v>❌ Neither</v>
      </c>
      <c r="G10" s="7">
        <f>IF('Raw Data'!F12="Y",1,0)+IF('Raw Data'!N12="Y",1,0)+IF('Raw Data'!V12="Y",1,0)+IF('Raw Data'!AD12="Y",1,0)</f>
        <v>0</v>
      </c>
      <c r="H10" s="8">
        <f>IF('Raw Data'!J12="Y",1,0)+IF('Raw Data'!R12="Y",1,0)+IF('Raw Data'!Z12="Y",1,0)+IF('Raw Data'!AH12="Y",1,0)</f>
        <v>0</v>
      </c>
      <c r="I10" s="9" t="str">
        <f t="shared" si="0"/>
        <v>🔴 CRITICAL</v>
      </c>
    </row>
    <row r="11" ht="20" customHeight="1" spans="1:9">
      <c r="A11" s="4" t="s">
        <v>39</v>
      </c>
      <c r="B11" s="10" t="s">
        <v>137</v>
      </c>
      <c r="C11" s="11" t="str">
        <f>IF('Raw Data'!F13="Y",IF('Raw Data'!J13="Y","✅ Both","🔴 Trip only"),IF('Raw Data'!J13="Y","🔵 Book only","❌ Neither"))</f>
        <v>❌ Neither</v>
      </c>
      <c r="D11" s="11" t="str">
        <f>IF('Raw Data'!N13="Y",IF('Raw Data'!R13="Y","✅ Both","🔴 Trip only"),IF('Raw Data'!R13="Y","🔵 Book only","❌ Neither"))</f>
        <v>❌ Neither</v>
      </c>
      <c r="E11" s="11" t="str">
        <f>IF('Raw Data'!V13="Y",IF('Raw Data'!Z13="Y","✅ Both","🔴 Trip only"),IF('Raw Data'!Z13="Y","🔵 Book only","❌ Neither"))</f>
        <v>❌ Neither</v>
      </c>
      <c r="F11" s="11" t="str">
        <f>IF('Raw Data'!AD13="Y",IF('Raw Data'!AH13="Y","✅ Both","🔴 Trip only"),IF('Raw Data'!AH13="Y","🔵 Book only","❌ Neither"))</f>
        <v>❌ Neither</v>
      </c>
      <c r="G11" s="7">
        <f>IF('Raw Data'!F13="Y",1,0)+IF('Raw Data'!N13="Y",1,0)+IF('Raw Data'!V13="Y",1,0)+IF('Raw Data'!AD13="Y",1,0)</f>
        <v>0</v>
      </c>
      <c r="H11" s="8">
        <f>IF('Raw Data'!J13="Y",1,0)+IF('Raw Data'!R13="Y",1,0)+IF('Raw Data'!Z13="Y",1,0)+IF('Raw Data'!AH13="Y",1,0)</f>
        <v>0</v>
      </c>
      <c r="I11" s="12" t="str">
        <f t="shared" si="0"/>
        <v>🔴 CRITICAL</v>
      </c>
    </row>
    <row r="12" ht="20" customHeight="1" spans="1:9">
      <c r="A12" s="4" t="s">
        <v>41</v>
      </c>
      <c r="B12" s="5" t="s">
        <v>138</v>
      </c>
      <c r="C12" s="6" t="str">
        <f>IF('Raw Data'!F14="Y",IF('Raw Data'!J14="Y","✅ Both","🔴 Trip only"),IF('Raw Data'!J14="Y","🔵 Book only","❌ Neither"))</f>
        <v>❌ Neither</v>
      </c>
      <c r="D12" s="6" t="str">
        <f>IF('Raw Data'!N14="Y",IF('Raw Data'!R14="Y","✅ Both","🔴 Trip only"),IF('Raw Data'!R14="Y","🔵 Book only","❌ Neither"))</f>
        <v>❌ Neither</v>
      </c>
      <c r="E12" s="6" t="str">
        <f>IF('Raw Data'!V14="Y",IF('Raw Data'!Z14="Y","✅ Both","🔴 Trip only"),IF('Raw Data'!Z14="Y","🔵 Book only","❌ Neither"))</f>
        <v>❌ Neither</v>
      </c>
      <c r="F12" s="6" t="str">
        <f>IF('Raw Data'!AD14="Y",IF('Raw Data'!AH14="Y","✅ Both","🔴 Trip only"),IF('Raw Data'!AH14="Y","🔵 Book only","❌ Neither"))</f>
        <v>❌ Neither</v>
      </c>
      <c r="G12" s="7">
        <f>IF('Raw Data'!F14="Y",1,0)+IF('Raw Data'!N14="Y",1,0)+IF('Raw Data'!V14="Y",1,0)+IF('Raw Data'!AD14="Y",1,0)</f>
        <v>0</v>
      </c>
      <c r="H12" s="8">
        <f>IF('Raw Data'!J14="Y",1,0)+IF('Raw Data'!R14="Y",1,0)+IF('Raw Data'!Z14="Y",1,0)+IF('Raw Data'!AH14="Y",1,0)</f>
        <v>0</v>
      </c>
      <c r="I12" s="9" t="str">
        <f t="shared" si="0"/>
        <v>🔴 CRITICAL</v>
      </c>
    </row>
    <row r="13" ht="20" customHeight="1" spans="1:9">
      <c r="A13" s="4" t="s">
        <v>43</v>
      </c>
      <c r="B13" s="10" t="s">
        <v>139</v>
      </c>
      <c r="C13" s="11" t="str">
        <f>IF('Raw Data'!F16="Y",IF('Raw Data'!J16="Y","✅ Both","🔴 Trip only"),IF('Raw Data'!J16="Y","🔵 Book only","❌ Neither"))</f>
        <v>🔵 Book only</v>
      </c>
      <c r="D13" s="11" t="str">
        <f>IF('Raw Data'!N16="Y",IF('Raw Data'!R16="Y","✅ Both","🔴 Trip only"),IF('Raw Data'!R16="Y","🔵 Book only","❌ Neither"))</f>
        <v>🔵 Book only</v>
      </c>
      <c r="E13" s="11" t="str">
        <f>IF('Raw Data'!V16="Y",IF('Raw Data'!Z16="Y","✅ Both","🔴 Trip only"),IF('Raw Data'!Z16="Y","🔵 Book only","❌ Neither"))</f>
        <v>❌ Neither</v>
      </c>
      <c r="F13" s="11" t="str">
        <f>IF('Raw Data'!AD16="Y",IF('Raw Data'!AH16="Y","✅ Both","🔴 Trip only"),IF('Raw Data'!AH16="Y","🔵 Book only","❌ Neither"))</f>
        <v>❌ Neither</v>
      </c>
      <c r="G13" s="7">
        <f>IF('Raw Data'!F16="Y",1,0)+IF('Raw Data'!N16="Y",1,0)+IF('Raw Data'!V16="Y",1,0)+IF('Raw Data'!AD16="Y",1,0)</f>
        <v>0</v>
      </c>
      <c r="H13" s="8">
        <f>IF('Raw Data'!J16="Y",1,0)+IF('Raw Data'!R16="Y",1,0)+IF('Raw Data'!Z16="Y",1,0)+IF('Raw Data'!AH16="Y",1,0)</f>
        <v>2</v>
      </c>
      <c r="I13" s="12" t="str">
        <f t="shared" si="0"/>
        <v>🔴 CRITICAL</v>
      </c>
    </row>
    <row r="14" ht="20" customHeight="1" spans="1:9">
      <c r="A14" s="13" t="s">
        <v>47</v>
      </c>
      <c r="B14" s="14" t="s">
        <v>140</v>
      </c>
      <c r="C14" s="15" t="str">
        <f>IF('Raw Data'!F17="Y",IF('Raw Data'!J17="Y","✅ Both","🔴 Trip only"),IF('Raw Data'!J17="Y","🔵 Book only","❌ Neither"))</f>
        <v>✅ Both</v>
      </c>
      <c r="D14" s="15" t="str">
        <f>IF('Raw Data'!N17="Y",IF('Raw Data'!R17="Y","✅ Both","🔴 Trip only"),IF('Raw Data'!R17="Y","🔵 Book only","❌ Neither"))</f>
        <v>✅ Both</v>
      </c>
      <c r="E14" s="15" t="str">
        <f>IF('Raw Data'!V17="Y",IF('Raw Data'!Z17="Y","✅ Both","🔴 Trip only"),IF('Raw Data'!Z17="Y","🔵 Book only","❌ Neither"))</f>
        <v>❌ Neither</v>
      </c>
      <c r="F14" s="15" t="str">
        <f>IF('Raw Data'!AD17="Y",IF('Raw Data'!AH17="Y","✅ Both","🔴 Trip only"),IF('Raw Data'!AH17="Y","🔵 Book only","❌ Neither"))</f>
        <v>❌ Neither</v>
      </c>
      <c r="G14" s="7">
        <f>IF('Raw Data'!F17="Y",1,0)+IF('Raw Data'!N17="Y",1,0)+IF('Raw Data'!V17="Y",1,0)+IF('Raw Data'!AD17="Y",1,0)</f>
        <v>2</v>
      </c>
      <c r="H14" s="8">
        <f>IF('Raw Data'!J17="Y",1,0)+IF('Raw Data'!R17="Y",1,0)+IF('Raw Data'!Z17="Y",1,0)+IF('Raw Data'!AH17="Y",1,0)</f>
        <v>2</v>
      </c>
      <c r="I14" s="16" t="str">
        <f t="shared" si="0"/>
        <v>🟡 TIED</v>
      </c>
    </row>
    <row r="15" ht="20" customHeight="1" spans="1:9">
      <c r="A15" s="13" t="s">
        <v>51</v>
      </c>
      <c r="B15" s="10" t="s">
        <v>141</v>
      </c>
      <c r="C15" s="11" t="str">
        <f>IF('Raw Data'!F18="Y",IF('Raw Data'!J18="Y","✅ Both","🔴 Trip only"),IF('Raw Data'!J18="Y","🔵 Book only","❌ Neither"))</f>
        <v>❌ Neither</v>
      </c>
      <c r="D15" s="11" t="str">
        <f>IF('Raw Data'!N18="Y",IF('Raw Data'!R18="Y","✅ Both","🔴 Trip only"),IF('Raw Data'!R18="Y","🔵 Book only","❌ Neither"))</f>
        <v>✅ Both</v>
      </c>
      <c r="E15" s="11" t="str">
        <f>IF('Raw Data'!V18="Y",IF('Raw Data'!Z18="Y","✅ Both","🔴 Trip only"),IF('Raw Data'!Z18="Y","🔵 Book only","❌ Neither"))</f>
        <v>❌ Neither</v>
      </c>
      <c r="F15" s="11" t="str">
        <f>IF('Raw Data'!AD18="Y",IF('Raw Data'!AH18="Y","✅ Both","🔴 Trip only"),IF('Raw Data'!AH18="Y","🔵 Book only","❌ Neither"))</f>
        <v>❌ Neither</v>
      </c>
      <c r="G15" s="7">
        <f>IF('Raw Data'!F18="Y",1,0)+IF('Raw Data'!N18="Y",1,0)+IF('Raw Data'!V18="Y",1,0)+IF('Raw Data'!AD18="Y",1,0)</f>
        <v>1</v>
      </c>
      <c r="H15" s="8">
        <f>IF('Raw Data'!J18="Y",1,0)+IF('Raw Data'!R18="Y",1,0)+IF('Raw Data'!Z18="Y",1,0)+IF('Raw Data'!AH18="Y",1,0)</f>
        <v>1</v>
      </c>
      <c r="I15" s="12" t="str">
        <f t="shared" si="0"/>
        <v>🟡 TIED</v>
      </c>
    </row>
    <row r="16" ht="20" customHeight="1" spans="1:9">
      <c r="A16" s="13" t="s">
        <v>53</v>
      </c>
      <c r="B16" s="14" t="s">
        <v>142</v>
      </c>
      <c r="C16" s="15" t="str">
        <f>IF('Raw Data'!F19="Y",IF('Raw Data'!J19="Y","✅ Both","🔴 Trip only"),IF('Raw Data'!J19="Y","🔵 Book only","❌ Neither"))</f>
        <v>❌ Neither</v>
      </c>
      <c r="D16" s="15" t="str">
        <f>IF('Raw Data'!N19="Y",IF('Raw Data'!R19="Y","✅ Both","🔴 Trip only"),IF('Raw Data'!R19="Y","🔵 Book only","❌ Neither"))</f>
        <v>❌ Neither</v>
      </c>
      <c r="E16" s="15" t="str">
        <f>IF('Raw Data'!V19="Y",IF('Raw Data'!Z19="Y","✅ Both","🔴 Trip only"),IF('Raw Data'!Z19="Y","🔵 Book only","❌ Neither"))</f>
        <v>❌ Neither</v>
      </c>
      <c r="F16" s="15" t="str">
        <f>IF('Raw Data'!AD19="Y",IF('Raw Data'!AH19="Y","✅ Both","🔴 Trip only"),IF('Raw Data'!AH19="Y","🔵 Book only","❌ Neither"))</f>
        <v>❌ Neither</v>
      </c>
      <c r="G16" s="7">
        <f>IF('Raw Data'!F19="Y",1,0)+IF('Raw Data'!N19="Y",1,0)+IF('Raw Data'!V19="Y",1,0)+IF('Raw Data'!AD19="Y",1,0)</f>
        <v>0</v>
      </c>
      <c r="H16" s="8">
        <f>IF('Raw Data'!J19="Y",1,0)+IF('Raw Data'!R19="Y",1,0)+IF('Raw Data'!Z19="Y",1,0)+IF('Raw Data'!AH19="Y",1,0)</f>
        <v>0</v>
      </c>
      <c r="I16" s="16" t="str">
        <f t="shared" si="0"/>
        <v>🔴 CRITICAL</v>
      </c>
    </row>
    <row r="17" ht="20" customHeight="1" spans="1:9">
      <c r="A17" s="13" t="s">
        <v>55</v>
      </c>
      <c r="B17" s="10" t="s">
        <v>143</v>
      </c>
      <c r="C17" s="11" t="str">
        <f>IF('Raw Data'!F20="Y",IF('Raw Data'!J20="Y","✅ Both","🔴 Trip only"),IF('Raw Data'!J20="Y","🔵 Book only","❌ Neither"))</f>
        <v>❌ Neither</v>
      </c>
      <c r="D17" s="11" t="str">
        <f>IF('Raw Data'!N20="Y",IF('Raw Data'!R20="Y","✅ Both","🔴 Trip only"),IF('Raw Data'!R20="Y","🔵 Book only","❌ Neither"))</f>
        <v>❌ Neither</v>
      </c>
      <c r="E17" s="11" t="str">
        <f>IF('Raw Data'!V20="Y",IF('Raw Data'!Z20="Y","✅ Both","🔴 Trip only"),IF('Raw Data'!Z20="Y","🔵 Book only","❌ Neither"))</f>
        <v>❌ Neither</v>
      </c>
      <c r="F17" s="11" t="str">
        <f>IF('Raw Data'!AD20="Y",IF('Raw Data'!AH20="Y","✅ Both","🔴 Trip only"),IF('Raw Data'!AH20="Y","🔵 Book only","❌ Neither"))</f>
        <v>❌ Neither</v>
      </c>
      <c r="G17" s="7">
        <f>IF('Raw Data'!F20="Y",1,0)+IF('Raw Data'!N20="Y",1,0)+IF('Raw Data'!V20="Y",1,0)+IF('Raw Data'!AD20="Y",1,0)</f>
        <v>0</v>
      </c>
      <c r="H17" s="8">
        <f>IF('Raw Data'!J20="Y",1,0)+IF('Raw Data'!R20="Y",1,0)+IF('Raw Data'!Z20="Y",1,0)+IF('Raw Data'!AH20="Y",1,0)</f>
        <v>0</v>
      </c>
      <c r="I17" s="12" t="str">
        <f t="shared" si="0"/>
        <v>🔴 CRITICAL</v>
      </c>
    </row>
    <row r="18" ht="20" customHeight="1" spans="1:9">
      <c r="A18" s="13" t="s">
        <v>57</v>
      </c>
      <c r="B18" s="14" t="s">
        <v>144</v>
      </c>
      <c r="C18" s="15" t="str">
        <f>IF('Raw Data'!F21="Y",IF('Raw Data'!J21="Y","✅ Both","🔴 Trip only"),IF('Raw Data'!J21="Y","🔵 Book only","❌ Neither"))</f>
        <v>🔴 Trip only</v>
      </c>
      <c r="D18" s="15" t="str">
        <f>IF('Raw Data'!N21="Y",IF('Raw Data'!R21="Y","✅ Both","🔴 Trip only"),IF('Raw Data'!R21="Y","🔵 Book only","❌ Neither"))</f>
        <v>✅ Both</v>
      </c>
      <c r="E18" s="15" t="str">
        <f>IF('Raw Data'!V21="Y",IF('Raw Data'!Z21="Y","✅ Both","🔴 Trip only"),IF('Raw Data'!Z21="Y","🔵 Book only","❌ Neither"))</f>
        <v>❌ Neither</v>
      </c>
      <c r="F18" s="15" t="str">
        <f>IF('Raw Data'!AD21="Y",IF('Raw Data'!AH21="Y","✅ Both","🔴 Trip only"),IF('Raw Data'!AH21="Y","🔵 Book only","❌ Neither"))</f>
        <v>❌ Neither</v>
      </c>
      <c r="G18" s="7">
        <f>IF('Raw Data'!F21="Y",1,0)+IF('Raw Data'!N21="Y",1,0)+IF('Raw Data'!V21="Y",1,0)+IF('Raw Data'!AD21="Y",1,0)</f>
        <v>2</v>
      </c>
      <c r="H18" s="8">
        <f>IF('Raw Data'!J21="Y",1,0)+IF('Raw Data'!R21="Y",1,0)+IF('Raw Data'!Z21="Y",1,0)+IF('Raw Data'!AH21="Y",1,0)</f>
        <v>1</v>
      </c>
      <c r="I18" s="16" t="str">
        <f t="shared" si="0"/>
        <v>🟢 LEAD</v>
      </c>
    </row>
    <row r="19" ht="20" customHeight="1" spans="1:9">
      <c r="A19" s="13" t="s">
        <v>59</v>
      </c>
      <c r="B19" s="10" t="s">
        <v>145</v>
      </c>
      <c r="C19" s="11" t="str">
        <f>IF('Raw Data'!F22="Y",IF('Raw Data'!J22="Y","✅ Both","🔴 Trip only"),IF('Raw Data'!J22="Y","🔵 Book only","❌ Neither"))</f>
        <v>✅ Both</v>
      </c>
      <c r="D19" s="11" t="str">
        <f>IF('Raw Data'!N22="Y",IF('Raw Data'!R22="Y","✅ Both","🔴 Trip only"),IF('Raw Data'!R22="Y","🔵 Book only","❌ Neither"))</f>
        <v>✅ Both</v>
      </c>
      <c r="E19" s="11" t="str">
        <f>IF('Raw Data'!V22="Y",IF('Raw Data'!Z22="Y","✅ Both","🔴 Trip only"),IF('Raw Data'!Z22="Y","🔵 Book only","❌ Neither"))</f>
        <v>❌ Neither</v>
      </c>
      <c r="F19" s="11" t="str">
        <f>IF('Raw Data'!AD22="Y",IF('Raw Data'!AH22="Y","✅ Both","🔴 Trip only"),IF('Raw Data'!AH22="Y","🔵 Book only","❌ Neither"))</f>
        <v>❌ Neither</v>
      </c>
      <c r="G19" s="7">
        <f>IF('Raw Data'!F22="Y",1,0)+IF('Raw Data'!N22="Y",1,0)+IF('Raw Data'!V22="Y",1,0)+IF('Raw Data'!AD22="Y",1,0)</f>
        <v>2</v>
      </c>
      <c r="H19" s="8">
        <f>IF('Raw Data'!J22="Y",1,0)+IF('Raw Data'!R22="Y",1,0)+IF('Raw Data'!Z22="Y",1,0)+IF('Raw Data'!AH22="Y",1,0)</f>
        <v>2</v>
      </c>
      <c r="I19" s="12" t="str">
        <f t="shared" si="0"/>
        <v>🟡 TIED</v>
      </c>
    </row>
    <row r="20" ht="20" customHeight="1" spans="1:9">
      <c r="A20" s="13" t="s">
        <v>61</v>
      </c>
      <c r="B20" s="14" t="s">
        <v>146</v>
      </c>
      <c r="C20" s="15" t="str">
        <f>IF('Raw Data'!F23="Y",IF('Raw Data'!J23="Y","✅ Both","🔴 Trip only"),IF('Raw Data'!J23="Y","🔵 Book only","❌ Neither"))</f>
        <v>❌ Neither</v>
      </c>
      <c r="D20" s="15" t="str">
        <f>IF('Raw Data'!N23="Y",IF('Raw Data'!R23="Y","✅ Both","🔴 Trip only"),IF('Raw Data'!R23="Y","🔵 Book only","❌ Neither"))</f>
        <v>❌ Neither</v>
      </c>
      <c r="E20" s="15" t="str">
        <f>IF('Raw Data'!V23="Y",IF('Raw Data'!Z23="Y","✅ Both","🔴 Trip only"),IF('Raw Data'!Z23="Y","🔵 Book only","❌ Neither"))</f>
        <v>❌ Neither</v>
      </c>
      <c r="F20" s="15" t="str">
        <f>IF('Raw Data'!AD23="Y",IF('Raw Data'!AH23="Y","✅ Both","🔴 Trip only"),IF('Raw Data'!AH23="Y","🔵 Book only","❌ Neither"))</f>
        <v>❌ Neither</v>
      </c>
      <c r="G20" s="7">
        <f>IF('Raw Data'!F23="Y",1,0)+IF('Raw Data'!N23="Y",1,0)+IF('Raw Data'!V23="Y",1,0)+IF('Raw Data'!AD23="Y",1,0)</f>
        <v>0</v>
      </c>
      <c r="H20" s="8">
        <f>IF('Raw Data'!J23="Y",1,0)+IF('Raw Data'!R23="Y",1,0)+IF('Raw Data'!Z23="Y",1,0)+IF('Raw Data'!AH23="Y",1,0)</f>
        <v>0</v>
      </c>
      <c r="I20" s="16" t="str">
        <f t="shared" si="0"/>
        <v>🔴 CRITICAL</v>
      </c>
    </row>
    <row r="21" ht="20" customHeight="1" spans="1:9">
      <c r="A21" s="17" t="s">
        <v>63</v>
      </c>
      <c r="B21" s="10" t="s">
        <v>147</v>
      </c>
      <c r="C21" s="11" t="str">
        <f>IF('Raw Data'!F24="Y",IF('Raw Data'!J24="Y","✅ Both","🔴 Trip only"),IF('Raw Data'!J24="Y","🔵 Book only","❌ Neither"))</f>
        <v>✅ Both</v>
      </c>
      <c r="D21" s="11" t="str">
        <f>IF('Raw Data'!N24="Y",IF('Raw Data'!R24="Y","✅ Both","🔴 Trip only"),IF('Raw Data'!R24="Y","🔵 Book only","❌ Neither"))</f>
        <v>✅ Both</v>
      </c>
      <c r="E21" s="11" t="str">
        <f>IF('Raw Data'!V24="Y",IF('Raw Data'!Z24="Y","✅ Both","🔴 Trip only"),IF('Raw Data'!Z24="Y","🔵 Book only","❌ Neither"))</f>
        <v>❌ Neither</v>
      </c>
      <c r="F21" s="11" t="str">
        <f>IF('Raw Data'!AD24="Y",IF('Raw Data'!AH24="Y","✅ Both","🔴 Trip only"),IF('Raw Data'!AH24="Y","🔵 Book only","❌ Neither"))</f>
        <v>❌ Neither</v>
      </c>
      <c r="G21" s="7">
        <f>IF('Raw Data'!F24="Y",1,0)+IF('Raw Data'!N24="Y",1,0)+IF('Raw Data'!V24="Y",1,0)+IF('Raw Data'!AD24="Y",1,0)</f>
        <v>2</v>
      </c>
      <c r="H21" s="8">
        <f>IF('Raw Data'!J24="Y",1,0)+IF('Raw Data'!R24="Y",1,0)+IF('Raw Data'!Z24="Y",1,0)+IF('Raw Data'!AH24="Y",1,0)</f>
        <v>2</v>
      </c>
      <c r="I21" s="12" t="str">
        <f t="shared" si="0"/>
        <v>🟡 TIED</v>
      </c>
    </row>
    <row r="22" ht="20" customHeight="1" spans="1:9">
      <c r="A22" s="17" t="s">
        <v>68</v>
      </c>
      <c r="B22" s="18" t="s">
        <v>148</v>
      </c>
      <c r="C22" s="19" t="str">
        <f>IF('Raw Data'!F25="Y",IF('Raw Data'!J25="Y","✅ Both","🔴 Trip only"),IF('Raw Data'!J25="Y","🔵 Book only","❌ Neither"))</f>
        <v>✅ Both</v>
      </c>
      <c r="D22" s="19" t="str">
        <f>IF('Raw Data'!N25="Y",IF('Raw Data'!R25="Y","✅ Both","🔴 Trip only"),IF('Raw Data'!R25="Y","🔵 Book only","❌ Neither"))</f>
        <v>✅ Both</v>
      </c>
      <c r="E22" s="19" t="str">
        <f>IF('Raw Data'!V25="Y",IF('Raw Data'!Z25="Y","✅ Both","🔴 Trip only"),IF('Raw Data'!Z25="Y","🔵 Book only","❌ Neither"))</f>
        <v>❌ Neither</v>
      </c>
      <c r="F22" s="19" t="str">
        <f>IF('Raw Data'!AD25="Y",IF('Raw Data'!AH25="Y","✅ Both","🔴 Trip only"),IF('Raw Data'!AH25="Y","🔵 Book only","❌ Neither"))</f>
        <v>❌ Neither</v>
      </c>
      <c r="G22" s="7">
        <f>IF('Raw Data'!F25="Y",1,0)+IF('Raw Data'!N25="Y",1,0)+IF('Raw Data'!V25="Y",1,0)+IF('Raw Data'!AD25="Y",1,0)</f>
        <v>2</v>
      </c>
      <c r="H22" s="8">
        <f>IF('Raw Data'!J25="Y",1,0)+IF('Raw Data'!R25="Y",1,0)+IF('Raw Data'!Z25="Y",1,0)+IF('Raw Data'!AH25="Y",1,0)</f>
        <v>2</v>
      </c>
      <c r="I22" s="20" t="str">
        <f t="shared" si="0"/>
        <v>🟡 TIED</v>
      </c>
    </row>
    <row r="23" ht="20" customHeight="1" spans="1:9">
      <c r="A23" s="17" t="s">
        <v>70</v>
      </c>
      <c r="B23" s="10" t="s">
        <v>149</v>
      </c>
      <c r="C23" s="11" t="str">
        <f>IF('Raw Data'!F26="Y",IF('Raw Data'!J26="Y","✅ Both","🔴 Trip only"),IF('Raw Data'!J26="Y","🔵 Book only","❌ Neither"))</f>
        <v>✅ Both</v>
      </c>
      <c r="D23" s="11" t="str">
        <f>IF('Raw Data'!N26="Y",IF('Raw Data'!R26="Y","✅ Both","🔴 Trip only"),IF('Raw Data'!R26="Y","🔵 Book only","❌ Neither"))</f>
        <v>✅ Both</v>
      </c>
      <c r="E23" s="11" t="str">
        <f>IF('Raw Data'!V26="Y",IF('Raw Data'!Z26="Y","✅ Both","🔴 Trip only"),IF('Raw Data'!Z26="Y","🔵 Book only","❌ Neither"))</f>
        <v>❌ Neither</v>
      </c>
      <c r="F23" s="11" t="str">
        <f>IF('Raw Data'!AD26="Y",IF('Raw Data'!AH26="Y","✅ Both","🔴 Trip only"),IF('Raw Data'!AH26="Y","🔵 Book only","❌ Neither"))</f>
        <v>❌ Neither</v>
      </c>
      <c r="G23" s="7">
        <f>IF('Raw Data'!F26="Y",1,0)+IF('Raw Data'!N26="Y",1,0)+IF('Raw Data'!V26="Y",1,0)+IF('Raw Data'!AD26="Y",1,0)</f>
        <v>2</v>
      </c>
      <c r="H23" s="8">
        <f>IF('Raw Data'!J26="Y",1,0)+IF('Raw Data'!R26="Y",1,0)+IF('Raw Data'!Z26="Y",1,0)+IF('Raw Data'!AH26="Y",1,0)</f>
        <v>2</v>
      </c>
      <c r="I23" s="12" t="str">
        <f t="shared" si="0"/>
        <v>🟡 TIED</v>
      </c>
    </row>
    <row r="24" ht="20" customHeight="1" spans="1:9">
      <c r="A24" s="17" t="s">
        <v>72</v>
      </c>
      <c r="B24" s="18" t="s">
        <v>150</v>
      </c>
      <c r="C24" s="19" t="str">
        <f>IF('Raw Data'!F27="Y",IF('Raw Data'!J27="Y","✅ Both","🔴 Trip only"),IF('Raw Data'!J27="Y","🔵 Book only","❌ Neither"))</f>
        <v>✅ Both</v>
      </c>
      <c r="D24" s="19" t="str">
        <f>IF('Raw Data'!N27="Y",IF('Raw Data'!R27="Y","✅ Both","🔴 Trip only"),IF('Raw Data'!R27="Y","🔵 Book only","❌ Neither"))</f>
        <v>✅ Both</v>
      </c>
      <c r="E24" s="19" t="str">
        <f>IF('Raw Data'!V27="Y",IF('Raw Data'!Z27="Y","✅ Both","🔴 Trip only"),IF('Raw Data'!Z27="Y","🔵 Book only","❌ Neither"))</f>
        <v>❌ Neither</v>
      </c>
      <c r="F24" s="19" t="str">
        <f>IF('Raw Data'!AD27="Y",IF('Raw Data'!AH27="Y","✅ Both","🔴 Trip only"),IF('Raw Data'!AH27="Y","🔵 Book only","❌ Neither"))</f>
        <v>❌ Neither</v>
      </c>
      <c r="G24" s="7">
        <f>IF('Raw Data'!F27="Y",1,0)+IF('Raw Data'!N27="Y",1,0)+IF('Raw Data'!V27="Y",1,0)+IF('Raw Data'!AD27="Y",1,0)</f>
        <v>2</v>
      </c>
      <c r="H24" s="8">
        <f>IF('Raw Data'!J27="Y",1,0)+IF('Raw Data'!R27="Y",1,0)+IF('Raw Data'!Z27="Y",1,0)+IF('Raw Data'!AH27="Y",1,0)</f>
        <v>2</v>
      </c>
      <c r="I24" s="20" t="str">
        <f t="shared" si="0"/>
        <v>🟡 TIED</v>
      </c>
    </row>
    <row r="25" ht="20" customHeight="1" spans="1:9">
      <c r="A25" s="17" t="s">
        <v>74</v>
      </c>
      <c r="B25" s="10" t="s">
        <v>151</v>
      </c>
      <c r="C25" s="11" t="str">
        <f>IF('Raw Data'!F28="Y",IF('Raw Data'!J28="Y","✅ Both","🔴 Trip only"),IF('Raw Data'!J28="Y","🔵 Book only","❌ Neither"))</f>
        <v>✅ Both</v>
      </c>
      <c r="D25" s="11" t="str">
        <f>IF('Raw Data'!N28="Y",IF('Raw Data'!R28="Y","✅ Both","🔴 Trip only"),IF('Raw Data'!R28="Y","🔵 Book only","❌ Neither"))</f>
        <v>✅ Both</v>
      </c>
      <c r="E25" s="11" t="str">
        <f>IF('Raw Data'!V28="Y",IF('Raw Data'!Z28="Y","✅ Both","🔴 Trip only"),IF('Raw Data'!Z28="Y","🔵 Book only","❌ Neither"))</f>
        <v>❌ Neither</v>
      </c>
      <c r="F25" s="11" t="str">
        <f>IF('Raw Data'!AD28="Y",IF('Raw Data'!AH28="Y","✅ Both","🔴 Trip only"),IF('Raw Data'!AH28="Y","🔵 Book only","❌ Neither"))</f>
        <v>❌ Neither</v>
      </c>
      <c r="G25" s="7">
        <f>IF('Raw Data'!F28="Y",1,0)+IF('Raw Data'!N28="Y",1,0)+IF('Raw Data'!V28="Y",1,0)+IF('Raw Data'!AD28="Y",1,0)</f>
        <v>2</v>
      </c>
      <c r="H25" s="8">
        <f>IF('Raw Data'!J28="Y",1,0)+IF('Raw Data'!R28="Y",1,0)+IF('Raw Data'!Z28="Y",1,0)+IF('Raw Data'!AH28="Y",1,0)</f>
        <v>2</v>
      </c>
      <c r="I25" s="12" t="str">
        <f t="shared" si="0"/>
        <v>🟡 TIED</v>
      </c>
    </row>
    <row r="26" ht="20" customHeight="1" spans="1:9">
      <c r="A26" s="17" t="s">
        <v>76</v>
      </c>
      <c r="B26" s="21" t="s">
        <v>152</v>
      </c>
      <c r="C26" s="22" t="str">
        <f>IF('Raw Data'!F29="Y",IF('Raw Data'!J29="Y","✅ Both","🔴 Trip only"),IF('Raw Data'!J29="Y","🔵 Book only","❌ Neither"))</f>
        <v>✅ Both</v>
      </c>
      <c r="D26" s="22" t="str">
        <f>IF('Raw Data'!N29="Y",IF('Raw Data'!R29="Y","✅ Both","🔴 Trip only"),IF('Raw Data'!R29="Y","🔵 Book only","❌ Neither"))</f>
        <v>✅ Both</v>
      </c>
      <c r="E26" s="22" t="str">
        <f>IF('Raw Data'!V29="Y",IF('Raw Data'!Z29="Y","✅ Both","🔴 Trip only"),IF('Raw Data'!Z29="Y","🔵 Book only","❌ Neither"))</f>
        <v>❌ Neither</v>
      </c>
      <c r="F26" s="22" t="str">
        <f>IF('Raw Data'!AD29="Y",IF('Raw Data'!AH29="Y","✅ Both","🔴 Trip only"),IF('Raw Data'!AH29="Y","🔵 Book only","❌ Neither"))</f>
        <v>❌ Neither</v>
      </c>
      <c r="G26" s="7">
        <f>IF('Raw Data'!F29="Y",1,0)+IF('Raw Data'!N29="Y",1,0)+IF('Raw Data'!V29="Y",1,0)+IF('Raw Data'!AD29="Y",1,0)</f>
        <v>2</v>
      </c>
      <c r="H26" s="8">
        <f>IF('Raw Data'!J29="Y",1,0)+IF('Raw Data'!R29="Y",1,0)+IF('Raw Data'!Z29="Y",1,0)+IF('Raw Data'!AH29="Y",1,0)</f>
        <v>2</v>
      </c>
      <c r="I26" s="23" t="str">
        <f t="shared" si="0"/>
        <v>🟡 TIED</v>
      </c>
    </row>
    <row r="27" ht="20" customHeight="1" spans="1:9">
      <c r="A27" s="17" t="s">
        <v>78</v>
      </c>
      <c r="B27" s="10" t="s">
        <v>153</v>
      </c>
      <c r="C27" s="11" t="str">
        <f>IF('Raw Data'!F30="Y",IF('Raw Data'!J30="Y","✅ Both","🔴 Trip only"),IF('Raw Data'!J30="Y","🔵 Book only","❌ Neither"))</f>
        <v>✅ Both</v>
      </c>
      <c r="D27" s="11" t="str">
        <f>IF('Raw Data'!N30="Y",IF('Raw Data'!R30="Y","✅ Both","🔴 Trip only"),IF('Raw Data'!R30="Y","🔵 Book only","❌ Neither"))</f>
        <v>✅ Both</v>
      </c>
      <c r="E27" s="11" t="str">
        <f>IF('Raw Data'!V30="Y",IF('Raw Data'!Z30="Y","✅ Both","🔴 Trip only"),IF('Raw Data'!Z30="Y","🔵 Book only","❌ Neither"))</f>
        <v>❌ Neither</v>
      </c>
      <c r="F27" s="11" t="str">
        <f>IF('Raw Data'!AD30="Y",IF('Raw Data'!AH30="Y","✅ Both","🔴 Trip only"),IF('Raw Data'!AH30="Y","🔵 Book only","❌ Neither"))</f>
        <v>❌ Neither</v>
      </c>
      <c r="G27" s="7">
        <f>IF('Raw Data'!F30="Y",1,0)+IF('Raw Data'!N30="Y",1,0)+IF('Raw Data'!V30="Y",1,0)+IF('Raw Data'!AD30="Y",1,0)</f>
        <v>2</v>
      </c>
      <c r="H27" s="8">
        <f>IF('Raw Data'!J30="Y",1,0)+IF('Raw Data'!R30="Y",1,0)+IF('Raw Data'!Z30="Y",1,0)+IF('Raw Data'!AH30="Y",1,0)</f>
        <v>2</v>
      </c>
      <c r="I27" s="12" t="str">
        <f t="shared" si="0"/>
        <v>🟡 TIED</v>
      </c>
    </row>
    <row r="28" ht="20" customHeight="1" spans="1:9">
      <c r="A28" s="17" t="s">
        <v>80</v>
      </c>
      <c r="B28" s="21" t="s">
        <v>154</v>
      </c>
      <c r="C28" s="22" t="str">
        <f>IF('Raw Data'!F31="Y",IF('Raw Data'!J31="Y","✅ Both","🔴 Trip only"),IF('Raw Data'!J31="Y","🔵 Book only","❌ Neither"))</f>
        <v>✅ Both</v>
      </c>
      <c r="D28" s="22" t="str">
        <f>IF('Raw Data'!N31="Y",IF('Raw Data'!R31="Y","✅ Both","🔴 Trip only"),IF('Raw Data'!R31="Y","🔵 Book only","❌ Neither"))</f>
        <v>✅ Both</v>
      </c>
      <c r="E28" s="22" t="str">
        <f>IF('Raw Data'!V31="Y",IF('Raw Data'!Z31="Y","✅ Both","🔴 Trip only"),IF('Raw Data'!Z31="Y","🔵 Book only","❌ Neither"))</f>
        <v>❌ Neither</v>
      </c>
      <c r="F28" s="22" t="str">
        <f>IF('Raw Data'!AD31="Y",IF('Raw Data'!AH31="Y","✅ Both","🔴 Trip only"),IF('Raw Data'!AH31="Y","🔵 Book only","❌ Neither"))</f>
        <v>❌ Neither</v>
      </c>
      <c r="G28" s="7">
        <f>IF('Raw Data'!F31="Y",1,0)+IF('Raw Data'!N31="Y",1,0)+IF('Raw Data'!V31="Y",1,0)+IF('Raw Data'!AD31="Y",1,0)</f>
        <v>2</v>
      </c>
      <c r="H28" s="8">
        <f>IF('Raw Data'!J31="Y",1,0)+IF('Raw Data'!R31="Y",1,0)+IF('Raw Data'!Z31="Y",1,0)+IF('Raw Data'!AH31="Y",1,0)</f>
        <v>2</v>
      </c>
      <c r="I28" s="23" t="str">
        <f t="shared" si="0"/>
        <v>🟡 TIED</v>
      </c>
    </row>
    <row r="29" ht="20" customHeight="1" spans="1:9">
      <c r="A29" s="17" t="s">
        <v>82</v>
      </c>
      <c r="B29" s="10" t="s">
        <v>155</v>
      </c>
      <c r="C29" s="11" t="str">
        <f>IF('Raw Data'!F32="Y",IF('Raw Data'!J32="Y","✅ Both","🔴 Trip only"),IF('Raw Data'!J32="Y","🔵 Book only","❌ Neither"))</f>
        <v>✅ Both</v>
      </c>
      <c r="D29" s="11" t="str">
        <f>IF('Raw Data'!N32="Y",IF('Raw Data'!R32="Y","✅ Both","🔴 Trip only"),IF('Raw Data'!R32="Y","🔵 Book only","❌ Neither"))</f>
        <v>✅ Both</v>
      </c>
      <c r="E29" s="11" t="str">
        <f>IF('Raw Data'!V32="Y",IF('Raw Data'!Z32="Y","✅ Both","🔴 Trip only"),IF('Raw Data'!Z32="Y","🔵 Book only","❌ Neither"))</f>
        <v>❌ Neither</v>
      </c>
      <c r="F29" s="11" t="str">
        <f>IF('Raw Data'!AD32="Y",IF('Raw Data'!AH32="Y","✅ Both","🔴 Trip only"),IF('Raw Data'!AH32="Y","🔵 Book only","❌ Neither"))</f>
        <v>❌ Neither</v>
      </c>
      <c r="G29" s="7">
        <f>IF('Raw Data'!F32="Y",1,0)+IF('Raw Data'!N32="Y",1,0)+IF('Raw Data'!V32="Y",1,0)+IF('Raw Data'!AD32="Y",1,0)</f>
        <v>2</v>
      </c>
      <c r="H29" s="8">
        <f>IF('Raw Data'!J32="Y",1,0)+IF('Raw Data'!R32="Y",1,0)+IF('Raw Data'!Z32="Y",1,0)+IF('Raw Data'!AH32="Y",1,0)</f>
        <v>2</v>
      </c>
      <c r="I29" s="12" t="str">
        <f t="shared" si="0"/>
        <v>🟡 TIED</v>
      </c>
    </row>
    <row r="30" ht="20" customHeight="1" spans="1:9">
      <c r="A30" s="17" t="s">
        <v>84</v>
      </c>
      <c r="B30" s="10" t="s">
        <v>156</v>
      </c>
      <c r="C30" s="11" t="str">
        <f>IF('Raw Data'!F33="Y",IF('Raw Data'!J33="Y","✅ Both","🔴 Trip only"),IF('Raw Data'!J33="Y","🔵 Book only","❌ Neither"))</f>
        <v>✅ Both</v>
      </c>
      <c r="D30" s="11" t="str">
        <f>IF('Raw Data'!N33="Y",IF('Raw Data'!R33="Y","✅ Both","🔴 Trip only"),IF('Raw Data'!R33="Y","🔵 Book only","❌ Neither"))</f>
        <v>✅ Both</v>
      </c>
      <c r="E30" s="11" t="str">
        <f>IF('Raw Data'!V33="Y",IF('Raw Data'!Z33="Y","✅ Both","🔴 Trip only"),IF('Raw Data'!Z33="Y","🔵 Book only","❌ Neither"))</f>
        <v>❌ Neither</v>
      </c>
      <c r="F30" s="11" t="str">
        <f>IF('Raw Data'!AD33="Y",IF('Raw Data'!AH33="Y","✅ Both","🔴 Trip only"),IF('Raw Data'!AH33="Y","🔵 Book only","❌ Neither"))</f>
        <v>❌ Neither</v>
      </c>
      <c r="G30" s="7">
        <f>IF('Raw Data'!F33="Y",1,0)+IF('Raw Data'!N33="Y",1,0)+IF('Raw Data'!V33="Y",1,0)+IF('Raw Data'!AD33="Y",1,0)</f>
        <v>2</v>
      </c>
      <c r="H30" s="8">
        <f>IF('Raw Data'!J33="Y",1,0)+IF('Raw Data'!R33="Y",1,0)+IF('Raw Data'!Z33="Y",1,0)+IF('Raw Data'!AH33="Y",1,0)</f>
        <v>2</v>
      </c>
      <c r="I30" s="12" t="str">
        <f>IF(G30=0,"🔴 CRITICAL",IF(G30&lt;H30,"🟡 GAP",IF(G30&gt;H30,"🟢 LEAD","🟡 TIED")))</f>
        <v>🟡 TIED</v>
      </c>
    </row>
    <row r="31" ht="20" customHeight="1" spans="1:9">
      <c r="A31" s="17" t="s">
        <v>86</v>
      </c>
      <c r="B31" s="21" t="s">
        <v>157</v>
      </c>
      <c r="C31" s="22" t="str">
        <f>IF('Raw Data'!F34="Y",IF('Raw Data'!J34="Y","✅ Both","🔴 Trip only"),IF('Raw Data'!J34="Y","🔵 Book only","❌ Neither"))</f>
        <v>✅ Both</v>
      </c>
      <c r="D31" s="22" t="str">
        <f>IF('Raw Data'!N34="Y",IF('Raw Data'!R34="Y","✅ Both","🔴 Trip only"),IF('Raw Data'!R34="Y","🔵 Book only","❌ Neither"))</f>
        <v>✅ Both</v>
      </c>
      <c r="E31" s="22" t="str">
        <f>IF('Raw Data'!V34="Y",IF('Raw Data'!Z34="Y","✅ Both","🔴 Trip only"),IF('Raw Data'!Z34="Y","🔵 Book only","❌ Neither"))</f>
        <v>❌ Neither</v>
      </c>
      <c r="F31" s="22" t="str">
        <f>IF('Raw Data'!AD34="Y",IF('Raw Data'!AH34="Y","✅ Both","🔴 Trip only"),IF('Raw Data'!AH34="Y","🔵 Book only","❌ Neither"))</f>
        <v>❌ Neither</v>
      </c>
      <c r="G31" s="7">
        <f>IF('Raw Data'!F34="Y",1,0)+IF('Raw Data'!N34="Y",1,0)+IF('Raw Data'!V34="Y",1,0)+IF('Raw Data'!AD34="Y",1,0)</f>
        <v>2</v>
      </c>
      <c r="H31" s="8">
        <f>IF('Raw Data'!J34="Y",1,0)+IF('Raw Data'!R34="Y",1,0)+IF('Raw Data'!Z34="Y",1,0)+IF('Raw Data'!AH34="Y",1,0)</f>
        <v>2</v>
      </c>
      <c r="I31" s="23" t="str">
        <f>IF(G31=0,"🔴 CRITICAL",IF(G31&lt;H31,"🟡 GAP",IF(G31&gt;H31,"🟢 LEAD","🟡 TIED")))</f>
        <v>🟡 TIED</v>
      </c>
    </row>
    <row r="32" ht="20" customHeight="1" spans="1:9">
      <c r="A32" s="17" t="s">
        <v>88</v>
      </c>
      <c r="B32" s="10" t="s">
        <v>158</v>
      </c>
      <c r="C32" s="11" t="str">
        <f>IF('Raw Data'!F35="Y",IF('Raw Data'!J35="Y","✅ Both","🔴 Trip only"),IF('Raw Data'!J35="Y","🔵 Book only","❌ Neither"))</f>
        <v>✅ Both</v>
      </c>
      <c r="D32" s="11" t="str">
        <f>IF('Raw Data'!N35="Y",IF('Raw Data'!R35="Y","✅ Both","🔴 Trip only"),IF('Raw Data'!R35="Y","🔵 Book only","❌ Neither"))</f>
        <v>✅ Both</v>
      </c>
      <c r="E32" s="11" t="str">
        <f>IF('Raw Data'!V35="Y",IF('Raw Data'!Z35="Y","✅ Both","🔴 Trip only"),IF('Raw Data'!Z35="Y","🔵 Book only","❌ Neither"))</f>
        <v>❌ Neither</v>
      </c>
      <c r="F32" s="11" t="str">
        <f>IF('Raw Data'!AD35="Y",IF('Raw Data'!AH35="Y","✅ Both","🔴 Trip only"),IF('Raw Data'!AH35="Y","🔵 Book only","❌ Neither"))</f>
        <v>❌ Neither</v>
      </c>
      <c r="G32" s="7">
        <f>IF('Raw Data'!F35="Y",1,0)+IF('Raw Data'!N35="Y",1,0)+IF('Raw Data'!V35="Y",1,0)+IF('Raw Data'!AD35="Y",1,0)</f>
        <v>2</v>
      </c>
      <c r="H32" s="8">
        <f>IF('Raw Data'!J35="Y",1,0)+IF('Raw Data'!R35="Y",1,0)+IF('Raw Data'!Z35="Y",1,0)+IF('Raw Data'!AH35="Y",1,0)</f>
        <v>2</v>
      </c>
      <c r="I32" s="12" t="str">
        <f>IF(G32=0,"🔴 CRITICAL",IF(G32&lt;H32,"🟡 GAP",IF(G32&gt;H32,"🟢 LEAD","🟡 TIED")))</f>
        <v>🟡 TIED</v>
      </c>
    </row>
  </sheetData>
  <mergeCells count="2">
    <mergeCell ref="A1:J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KPI Dashboard</vt:lpstr>
      <vt:lpstr>Scorecard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严鑫月</cp:lastModifiedBy>
  <dcterms:created xsi:type="dcterms:W3CDTF">2026-05-16T15:33:00Z</dcterms:created>
  <dcterms:modified xsi:type="dcterms:W3CDTF">2026-05-17T14:15:13Z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27743B432F9B1776F15C096A99BFEEA6_42</vt:lpwstr>
  </property>
</Properties>
</file>